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10" headerRowCount="1">
  <autoFilter ref="A1:G10"/>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36" headerRowCount="1">
  <autoFilter ref="A1:P13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90" headerRowCount="1">
  <autoFilter ref="A1:E49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20" headerRowCount="1">
  <autoFilter ref="A1:G20"/>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51" headerRowCount="1">
  <autoFilter ref="A1:E5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HR</t>
        </is>
      </c>
      <c r="B7" s="3" t="inlineStr">
        <is>
          <t>HR time &amp; attendance (0.5)</t>
        </is>
      </c>
      <c r="C7" s="3" t="inlineStr">
        <is>
          <t>2027-07-05</t>
        </is>
      </c>
      <c r="D7" s="3" t="inlineStr">
        <is>
          <t>2027-08-27</t>
        </is>
      </c>
      <c r="E7" s="3" t="inlineStr">
        <is>
          <t>G-HR</t>
        </is>
      </c>
      <c r="F7" s="3" t="inlineStr">
        <is>
          <t>docs/25: locations + holidays, leave policies + ledger, leave requests, team calendar, shifts, attendance, regularization, month close (owner 2026-10-14)</t>
        </is>
      </c>
      <c r="G7" s="3" t="inlineStr">
        <is>
          <t>Not started</t>
        </is>
      </c>
    </row>
    <row r="8">
      <c r="A8" s="3" t="inlineStr">
        <is>
          <t>R5</t>
        </is>
      </c>
      <c r="B8" s="3" t="inlineStr">
        <is>
          <t>Cases &amp; Compliance</t>
        </is>
      </c>
      <c r="C8" s="3" t="inlineStr">
        <is>
          <t>2027-07-05</t>
        </is>
      </c>
      <c r="D8" s="3" t="inlineStr">
        <is>
          <t>2027-08-27</t>
        </is>
      </c>
      <c r="E8" s="3" t="inlineStr">
        <is>
          <t>G-R5</t>
        </is>
      </c>
      <c r="F8" s="3" t="inlineStr">
        <is>
          <t>Cases, investigations, legal hold, Part 11, reports, AI optional (old M9)</t>
        </is>
      </c>
      <c r="G8" s="3" t="inlineStr">
        <is>
          <t>Not started</t>
        </is>
      </c>
    </row>
    <row r="9">
      <c r="A9" s="3" t="inlineStr">
        <is>
          <t>GA</t>
        </is>
      </c>
      <c r="B9" s="3" t="inlineStr">
        <is>
          <t>1.0 hardening + release</t>
        </is>
      </c>
      <c r="C9" s="3" t="inlineStr">
        <is>
          <t>2027-08-30</t>
        </is>
      </c>
      <c r="D9" s="3" t="inlineStr">
        <is>
          <t>2027-10-15</t>
        </is>
      </c>
      <c r="E9" s="3" t="inlineStr">
        <is>
          <t>G4/G5</t>
        </is>
      </c>
      <c r="F9" s="3" t="inlineStr">
        <is>
          <t>Load/HA/DR, pentest, a11y/VPAT, i18n, docs, full E2E regression (old M10–M11)</t>
        </is>
      </c>
      <c r="G9" s="3" t="inlineStr">
        <is>
          <t>Not started</t>
        </is>
      </c>
    </row>
    <row r="10">
      <c r="A10" s="3" t="inlineStr">
        <is>
          <t>POST</t>
        </is>
      </c>
      <c r="B10" s="3" t="inlineStr">
        <is>
          <t>Post-GA expansion</t>
        </is>
      </c>
      <c r="C10" s="3" t="inlineStr">
        <is>
          <t>2027-10-18</t>
        </is>
      </c>
      <c r="D10" s="3" t="inlineStr">
        <is>
          <t>2028-03-31</t>
        </is>
      </c>
      <c r="E10" s="3" t="inlineStr">
        <is>
          <t>Demand</t>
        </is>
      </c>
      <c r="F10" s="3" t="inlineStr">
        <is>
          <t>Chat platforms, HRIS/ERP, QES/Aadhaar, BPMN/DMN, mining, AI agents (old M12+)</t>
        </is>
      </c>
      <c r="G10"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3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In progress</t>
        </is>
      </c>
      <c r="L88" s="3" t="inlineStr">
        <is>
          <t>Automated tests</t>
        </is>
      </c>
      <c r="M88" s="3" t="inlineStr"/>
      <c r="N88" s="3" t="inlineStr"/>
      <c r="O88" s="3" t="inlineStr"/>
      <c r="P88" s="3" t="inlineStr">
        <is>
          <t>OpenID Connect single sign-on (0.4, migration 0054, crate procera-sso): one provider per workspace (issuer checked through discovery, sealed client secret, trusted email domains), code + PKCE + nonce + one-time state, ID token verified against the provider JWKS, people matched by (issuer, sub) or the first time by a verified trusted-domain email of an active member, sessions amr sso(+mfa); Require SSO refuses non-SSO sessions except owners (break-glass); Sign in with SSO on the sign-in page; Admin › Single sign-on. E2E-R4-SSO-01..02, E2E-R4-UI-08, AUD-01. Remaining: JIT accounts, SAML broker, DNS domain proof, provider logout (docs/22 A-50).</t>
        </is>
      </c>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In progress</t>
        </is>
      </c>
      <c r="L93" s="3" t="inlineStr">
        <is>
          <t>Automated tests</t>
        </is>
      </c>
      <c r="M93" s="3" t="inlineStr"/>
      <c r="N93" s="3" t="inlineStr"/>
      <c r="O93" s="3" t="inlineStr"/>
      <c r="P93" s="3" t="inlineStr">
        <is>
          <t>Email-actionable approvals (0.4, migration 0053): plain approval steps email each candidate Approve/Reject links (single use, SHA-256 stored, due date or 7 days, every link of the step spent on use, workspace switch notify.email_actions.enabled); a signed-out confirm page shows the request, its open answers and who decides, never decides on GET, and decides once through the normal path (audit work.decided_by_email). E2E-R4-EA-01..02, E2E-R4-UI-07, AUD-01. Remaining: reply-by-email, web push.</t>
        </is>
      </c>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BPMS-222</t>
        </is>
      </c>
      <c r="B102" s="3" t="inlineStr">
        <is>
          <t>HR</t>
        </is>
      </c>
      <c r="C102" s="3" t="inlineStr">
        <is>
          <t>0.5 HR: work locations (IANA zone, work week), holiday calendars with optional holidays, iCal/CSV import; engine calendars follow them</t>
        </is>
      </c>
      <c r="D102" s="3" t="inlineStr">
        <is>
          <t>P1</t>
        </is>
      </c>
      <c r="E102" s="3" t="inlineStr">
        <is>
          <t>HR</t>
        </is>
      </c>
      <c r="F102" s="3" t="inlineStr">
        <is>
          <t>Fullstack</t>
        </is>
      </c>
      <c r="G102" s="3" t="inlineStr">
        <is>
          <t>docs/25 §2.1, HR-01</t>
        </is>
      </c>
      <c r="H102" s="3" t="inlineStr">
        <is>
          <t>Day counts follow location + holidays (E2E-R5-HR-01)</t>
        </is>
      </c>
      <c r="I102" s="3" t="inlineStr">
        <is>
          <t>M</t>
        </is>
      </c>
      <c r="J102" s="3" t="inlineStr">
        <is>
          <t>BPMS-083</t>
        </is>
      </c>
      <c r="K102" s="3" t="inlineStr">
        <is>
          <t>Not started</t>
        </is>
      </c>
      <c r="L102" s="3" t="inlineStr">
        <is>
          <t>—</t>
        </is>
      </c>
      <c r="M102" s="3" t="inlineStr"/>
      <c r="N102" s="3" t="inlineStr"/>
      <c r="O102" s="3" t="inlineStr"/>
      <c r="P102" s="3" t="inlineStr"/>
    </row>
    <row r="103">
      <c r="A103" s="3" t="inlineStr">
        <is>
          <t>BPMS-223</t>
        </is>
      </c>
      <c r="B103" s="3" t="inlineStr">
        <is>
          <t>HR</t>
        </is>
      </c>
      <c r="C103" s="3" t="inlineStr">
        <is>
          <t>0.5 HR: leave types, policies by audience, accrual and rollover jobs, balance ledger, audited adjustments</t>
        </is>
      </c>
      <c r="D103" s="3" t="inlineStr">
        <is>
          <t>P1</t>
        </is>
      </c>
      <c r="E103" s="3" t="inlineStr">
        <is>
          <t>HR</t>
        </is>
      </c>
      <c r="F103" s="3" t="inlineStr">
        <is>
          <t>Fullstack</t>
        </is>
      </c>
      <c r="G103" s="3" t="inlineStr">
        <is>
          <t>docs/25 §2.2, §3, HR-02/03</t>
        </is>
      </c>
      <c r="H103" s="3" t="inlineStr">
        <is>
          <t>Every balance explained by its ledger (E2E-R5-HR-02)</t>
        </is>
      </c>
      <c r="I103" s="3" t="inlineStr">
        <is>
          <t>L</t>
        </is>
      </c>
      <c r="J103" s="3" t="inlineStr">
        <is>
          <t>BPMS-222</t>
        </is>
      </c>
      <c r="K103" s="3" t="inlineStr">
        <is>
          <t>Not started</t>
        </is>
      </c>
      <c r="L103" s="3" t="inlineStr">
        <is>
          <t>—</t>
        </is>
      </c>
      <c r="M103" s="3" t="inlineStr"/>
      <c r="N103" s="3" t="inlineStr"/>
      <c r="O103" s="3" t="inlineStr"/>
      <c r="P103" s="3" t="inlineStr"/>
    </row>
    <row r="104">
      <c r="A104" s="3" t="inlineStr">
        <is>
          <t>BPMS-224</t>
        </is>
      </c>
      <c r="B104" s="3" t="inlineStr">
        <is>
          <t>HR</t>
        </is>
      </c>
      <c r="C104" s="3" t="inlineStr">
        <is>
          <t>0.5 HR: leave requests on the engine (day counting, half days, hold/take/release, cancel after approval), Time off page</t>
        </is>
      </c>
      <c r="D104" s="3" t="inlineStr">
        <is>
          <t>P1</t>
        </is>
      </c>
      <c r="E104" s="3" t="inlineStr">
        <is>
          <t>HR</t>
        </is>
      </c>
      <c r="F104" s="3" t="inlineStr">
        <is>
          <t>Fullstack</t>
        </is>
      </c>
      <c r="G104" s="3" t="inlineStr">
        <is>
          <t>docs/25 §4, §7, HR-04</t>
        </is>
      </c>
      <c r="H104" s="3" t="inlineStr">
        <is>
          <t>Hold → taken → release round-trips (E2E-R5-HR-03)</t>
        </is>
      </c>
      <c r="I104" s="3" t="inlineStr">
        <is>
          <t>L</t>
        </is>
      </c>
      <c r="J104" s="3" t="inlineStr">
        <is>
          <t>BPMS-223</t>
        </is>
      </c>
      <c r="K104" s="3" t="inlineStr">
        <is>
          <t>Not started</t>
        </is>
      </c>
      <c r="L104" s="3" t="inlineStr">
        <is>
          <t>—</t>
        </is>
      </c>
      <c r="M104" s="3" t="inlineStr"/>
      <c r="N104" s="3" t="inlineStr"/>
      <c r="O104" s="3" t="inlineStr"/>
      <c r="P104" s="3" t="inlineStr"/>
    </row>
    <row r="105">
      <c r="A105" s="3" t="inlineStr">
        <is>
          <t>BPMS-225</t>
        </is>
      </c>
      <c r="B105" s="3" t="inlineStr">
        <is>
          <t>HR</t>
        </is>
      </c>
      <c r="C105" s="3" t="inlineStr">
        <is>
          <t>0.5 HR: team calendar (who's out, privacy) and org chart</t>
        </is>
      </c>
      <c r="D105" s="3" t="inlineStr">
        <is>
          <t>P1</t>
        </is>
      </c>
      <c r="E105" s="3" t="inlineStr">
        <is>
          <t>HR</t>
        </is>
      </c>
      <c r="F105" s="3" t="inlineStr">
        <is>
          <t>FE</t>
        </is>
      </c>
      <c r="G105" s="3" t="inlineStr">
        <is>
          <t>docs/25 §6, §8, HR-05</t>
        </is>
      </c>
      <c r="H105" s="3" t="inlineStr">
        <is>
          <t>Colleague sees Out, manager sees type (E2E-R5-HR-04)</t>
        </is>
      </c>
      <c r="I105" s="3" t="inlineStr">
        <is>
          <t>M</t>
        </is>
      </c>
      <c r="J105" s="3" t="inlineStr">
        <is>
          <t>BPMS-224</t>
        </is>
      </c>
      <c r="K105" s="3" t="inlineStr">
        <is>
          <t>Not started</t>
        </is>
      </c>
      <c r="L105" s="3" t="inlineStr">
        <is>
          <t>—</t>
        </is>
      </c>
      <c r="M105" s="3" t="inlineStr"/>
      <c r="N105" s="3" t="inlineStr"/>
      <c r="O105" s="3" t="inlineStr"/>
      <c r="P105" s="3" t="inlineStr"/>
    </row>
    <row r="106">
      <c r="A106" s="3" t="inlineStr">
        <is>
          <t>BPMS-226</t>
        </is>
      </c>
      <c r="B106" s="3" t="inlineStr">
        <is>
          <t>HR</t>
        </is>
      </c>
      <c r="C106" s="3" t="inlineStr">
        <is>
          <t>0.5 HR: shift patterns and weekly rosters (draft, publish, notify), my schedule</t>
        </is>
      </c>
      <c r="D106" s="3" t="inlineStr">
        <is>
          <t>P1</t>
        </is>
      </c>
      <c r="E106" s="3" t="inlineStr">
        <is>
          <t>HR</t>
        </is>
      </c>
      <c r="F106" s="3" t="inlineStr">
        <is>
          <t>Fullstack</t>
        </is>
      </c>
      <c r="G106" s="3" t="inlineStr">
        <is>
          <t>docs/25 §2.5, HR-06</t>
        </is>
      </c>
      <c r="H106" s="3" t="inlineStr">
        <is>
          <t>Published roster notifies; rostered weekend is a working day (E2E-R5-HR-05)</t>
        </is>
      </c>
      <c r="I106" s="3" t="inlineStr">
        <is>
          <t>M</t>
        </is>
      </c>
      <c r="J106" s="3" t="inlineStr">
        <is>
          <t>BPMS-222</t>
        </is>
      </c>
      <c r="K106" s="3" t="inlineStr">
        <is>
          <t>Not started</t>
        </is>
      </c>
      <c r="L106" s="3" t="inlineStr">
        <is>
          <t>—</t>
        </is>
      </c>
      <c r="M106" s="3" t="inlineStr"/>
      <c r="N106" s="3" t="inlineStr"/>
      <c r="O106" s="3" t="inlineStr"/>
      <c r="P106" s="3" t="inlineStr"/>
    </row>
    <row r="107">
      <c r="A107" s="3" t="inlineStr">
        <is>
          <t>BPMS-227</t>
        </is>
      </c>
      <c r="B107" s="3" t="inlineStr">
        <is>
          <t>HR</t>
        </is>
      </c>
      <c r="C107" s="3" t="inlineStr">
        <is>
          <t>0.5 HR: attendance (clock in/out, punch import CSV/API), derived daily status</t>
        </is>
      </c>
      <c r="D107" s="3" t="inlineStr">
        <is>
          <t>P1</t>
        </is>
      </c>
      <c r="E107" s="3" t="inlineStr">
        <is>
          <t>HR</t>
        </is>
      </c>
      <c r="F107" s="3" t="inlineStr">
        <is>
          <t>Fullstack</t>
        </is>
      </c>
      <c r="G107" s="3" t="inlineStr">
        <is>
          <t>docs/25 §5, HR-07</t>
        </is>
      </c>
      <c r="H107" s="3" t="inlineStr">
        <is>
          <t>Status table-tested; late and missing punch (E2E-R5-HR-06)</t>
        </is>
      </c>
      <c r="I107" s="3" t="inlineStr">
        <is>
          <t>L</t>
        </is>
      </c>
      <c r="J107" s="3" t="inlineStr">
        <is>
          <t>BPMS-226</t>
        </is>
      </c>
      <c r="K107" s="3" t="inlineStr">
        <is>
          <t>Not started</t>
        </is>
      </c>
      <c r="L107" s="3" t="inlineStr">
        <is>
          <t>—</t>
        </is>
      </c>
      <c r="M107" s="3" t="inlineStr"/>
      <c r="N107" s="3" t="inlineStr"/>
      <c r="O107" s="3" t="inlineStr"/>
      <c r="P107" s="3" t="inlineStr"/>
    </row>
    <row r="108">
      <c r="A108" s="3" t="inlineStr">
        <is>
          <t>BPMS-228</t>
        </is>
      </c>
      <c r="B108" s="3" t="inlineStr">
        <is>
          <t>HR</t>
        </is>
      </c>
      <c r="C108" s="3" t="inlineStr">
        <is>
          <t>0.5 HR: regularization requests on the engine (originals kept)</t>
        </is>
      </c>
      <c r="D108" s="3" t="inlineStr">
        <is>
          <t>P1</t>
        </is>
      </c>
      <c r="E108" s="3" t="inlineStr">
        <is>
          <t>HR</t>
        </is>
      </c>
      <c r="F108" s="3" t="inlineStr">
        <is>
          <t>Fullstack</t>
        </is>
      </c>
      <c r="G108" s="3" t="inlineStr">
        <is>
          <t>docs/25 §7, HR-08</t>
        </is>
      </c>
      <c r="H108" s="3" t="inlineStr">
        <is>
          <t>Approved fix recomputes the day (E2E-R5-HR-07)</t>
        </is>
      </c>
      <c r="I108" s="3" t="inlineStr">
        <is>
          <t>M</t>
        </is>
      </c>
      <c r="J108" s="3" t="inlineStr">
        <is>
          <t>BPMS-227</t>
        </is>
      </c>
      <c r="K108" s="3" t="inlineStr">
        <is>
          <t>Not started</t>
        </is>
      </c>
      <c r="L108" s="3" t="inlineStr">
        <is>
          <t>—</t>
        </is>
      </c>
      <c r="M108" s="3" t="inlineStr"/>
      <c r="N108" s="3" t="inlineStr"/>
      <c r="O108" s="3" t="inlineStr"/>
      <c r="P108" s="3" t="inlineStr"/>
    </row>
    <row r="109">
      <c r="A109" s="3" t="inlineStr">
        <is>
          <t>BPMS-229</t>
        </is>
      </c>
      <c r="B109" s="3" t="inlineStr">
        <is>
          <t>HR</t>
        </is>
      </c>
      <c r="C109" s="3" t="inlineStr">
        <is>
          <t>0.5 HR: attendance register and reports, month close, payroll-ready export</t>
        </is>
      </c>
      <c r="D109" s="3" t="inlineStr">
        <is>
          <t>P1</t>
        </is>
      </c>
      <c r="E109" s="3" t="inlineStr">
        <is>
          <t>HR</t>
        </is>
      </c>
      <c r="F109" s="3" t="inlineStr">
        <is>
          <t>Fullstack</t>
        </is>
      </c>
      <c r="G109" s="3" t="inlineStr">
        <is>
          <t>docs/25 §2.8, HR-09</t>
        </is>
      </c>
      <c r="H109" s="3" t="inlineStr">
        <is>
          <t>Export equals the grid; closed month frozen (E2E-R5-HR-08)</t>
        </is>
      </c>
      <c r="I109" s="3" t="inlineStr">
        <is>
          <t>M</t>
        </is>
      </c>
      <c r="J109" s="3" t="inlineStr">
        <is>
          <t>BPMS-228</t>
        </is>
      </c>
      <c r="K109" s="3" t="inlineStr">
        <is>
          <t>Not started</t>
        </is>
      </c>
      <c r="L109" s="3" t="inlineStr">
        <is>
          <t>—</t>
        </is>
      </c>
      <c r="M109" s="3" t="inlineStr"/>
      <c r="N109" s="3" t="inlineStr"/>
      <c r="O109" s="3" t="inlineStr"/>
      <c r="P109" s="3" t="inlineStr"/>
    </row>
    <row r="110">
      <c r="A110" s="3" t="inlineStr">
        <is>
          <t>BPMS-160</t>
        </is>
      </c>
      <c r="B110" s="3" t="inlineStr">
        <is>
          <t>CASE</t>
        </is>
      </c>
      <c r="C110" s="3" t="inlineStr">
        <is>
          <t>Case types, queues, macros, SLAs, link/merge, restricted cases</t>
        </is>
      </c>
      <c r="D110" s="3" t="inlineStr">
        <is>
          <t>P1</t>
        </is>
      </c>
      <c r="E110" s="3" t="inlineStr">
        <is>
          <t>R5</t>
        </is>
      </c>
      <c r="F110" s="3" t="inlineStr">
        <is>
          <t>Fullstack</t>
        </is>
      </c>
      <c r="G110" s="3" t="inlineStr">
        <is>
          <t>FR-C01, FX-K01–K06</t>
        </is>
      </c>
      <c r="H110" s="3" t="inlineStr">
        <is>
          <t>J4 passes</t>
        </is>
      </c>
      <c r="I110" s="3" t="inlineStr">
        <is>
          <t>XL</t>
        </is>
      </c>
      <c r="J110" s="3" t="inlineStr">
        <is>
          <t>BPMS-082</t>
        </is>
      </c>
      <c r="K110" s="3" t="inlineStr">
        <is>
          <t>Not started</t>
        </is>
      </c>
      <c r="L110" s="3" t="inlineStr">
        <is>
          <t>—</t>
        </is>
      </c>
      <c r="M110" s="3" t="inlineStr"/>
      <c r="N110" s="3" t="inlineStr"/>
      <c r="O110" s="3" t="inlineStr"/>
      <c r="P110" s="3" t="inlineStr"/>
    </row>
    <row r="111">
      <c r="A111" s="3" t="inlineStr">
        <is>
          <t>BPMS-161</t>
        </is>
      </c>
      <c r="B111" s="3" t="inlineStr">
        <is>
          <t>AUD</t>
        </is>
      </c>
      <c r="C111" s="3" t="inlineStr">
        <is>
          <t>Investigations: pins, legal hold, signed export, conflict-of-interest</t>
        </is>
      </c>
      <c r="D111" s="3" t="inlineStr">
        <is>
          <t>P1</t>
        </is>
      </c>
      <c r="E111" s="3" t="inlineStr">
        <is>
          <t>R5</t>
        </is>
      </c>
      <c r="F111" s="3" t="inlineStr">
        <is>
          <t>Fullstack</t>
        </is>
      </c>
      <c r="G111" s="3" t="inlineStr">
        <is>
          <t>FR-T05/T06, FX-K08, FX-L01</t>
        </is>
      </c>
      <c r="H111" s="3" t="inlineStr">
        <is>
          <t>J10 passes</t>
        </is>
      </c>
      <c r="I111" s="3" t="inlineStr">
        <is>
          <t>L</t>
        </is>
      </c>
      <c r="J111" s="3" t="inlineStr">
        <is>
          <t>BPMS-064,160</t>
        </is>
      </c>
      <c r="K111" s="3" t="inlineStr">
        <is>
          <t>Not started</t>
        </is>
      </c>
      <c r="L111" s="3" t="inlineStr">
        <is>
          <t>—</t>
        </is>
      </c>
      <c r="M111" s="3" t="inlineStr"/>
      <c r="N111" s="3" t="inlineStr"/>
      <c r="O111" s="3" t="inlineStr"/>
      <c r="P111" s="3" t="inlineStr"/>
    </row>
    <row r="112">
      <c r="A112" s="3" t="inlineStr">
        <is>
          <t>BPMS-162</t>
        </is>
      </c>
      <c r="B112" s="3" t="inlineStr">
        <is>
          <t>AUD</t>
        </is>
      </c>
      <c r="C112" s="3" t="inlineStr">
        <is>
          <t>Checkpoints, RFC 3161, WORM export, procera-verify CLI</t>
        </is>
      </c>
      <c r="D112" s="3" t="inlineStr">
        <is>
          <t>P1</t>
        </is>
      </c>
      <c r="E112" s="3" t="inlineStr">
        <is>
          <t>R5</t>
        </is>
      </c>
      <c r="F112" s="3" t="inlineStr">
        <is>
          <t>Platform</t>
        </is>
      </c>
      <c r="G112" s="3" t="inlineStr">
        <is>
          <t>AUD-02–05</t>
        </is>
      </c>
      <c r="H112" s="3" t="inlineStr">
        <is>
          <t>Verifier detects tamper</t>
        </is>
      </c>
      <c r="I112" s="3" t="inlineStr">
        <is>
          <t>M</t>
        </is>
      </c>
      <c r="J112" s="3" t="inlineStr">
        <is>
          <t>BPMS-026</t>
        </is>
      </c>
      <c r="K112" s="3" t="inlineStr">
        <is>
          <t>Not started</t>
        </is>
      </c>
      <c r="L112" s="3" t="inlineStr">
        <is>
          <t>—</t>
        </is>
      </c>
      <c r="M112" s="3" t="inlineStr"/>
      <c r="N112" s="3" t="inlineStr"/>
      <c r="O112" s="3" t="inlineStr"/>
      <c r="P112" s="3" t="inlineStr"/>
    </row>
    <row r="113">
      <c r="A113" s="3" t="inlineStr">
        <is>
          <t>BPMS-163</t>
        </is>
      </c>
      <c r="B113" s="3" t="inlineStr">
        <is>
          <t>GOV</t>
        </is>
      </c>
      <c r="C113" s="3" t="inlineStr">
        <is>
          <t>Attestation campaigns, control mapping, access reviews</t>
        </is>
      </c>
      <c r="D113" s="3" t="inlineStr">
        <is>
          <t>P1</t>
        </is>
      </c>
      <c r="E113" s="3" t="inlineStr">
        <is>
          <t>R5</t>
        </is>
      </c>
      <c r="F113" s="3" t="inlineStr">
        <is>
          <t>Fullstack</t>
        </is>
      </c>
      <c r="G113" s="3" t="inlineStr">
        <is>
          <t>FR-G06, FR-W11</t>
        </is>
      </c>
      <c r="H113" s="3" t="inlineStr">
        <is>
          <t>Evidence export</t>
        </is>
      </c>
      <c r="I113" s="3" t="inlineStr">
        <is>
          <t>M</t>
        </is>
      </c>
      <c r="J113" s="3" t="inlineStr">
        <is>
          <t>BPMS-046</t>
        </is>
      </c>
      <c r="K113" s="3" t="inlineStr">
        <is>
          <t>Not started</t>
        </is>
      </c>
      <c r="L113" s="3" t="inlineStr">
        <is>
          <t>—</t>
        </is>
      </c>
      <c r="M113" s="3" t="inlineStr"/>
      <c r="N113" s="3" t="inlineStr"/>
      <c r="O113" s="3" t="inlineStr"/>
      <c r="P113" s="3" t="inlineStr"/>
    </row>
    <row r="114">
      <c r="A114" s="3" t="inlineStr">
        <is>
          <t>BPMS-164</t>
        </is>
      </c>
      <c r="B114" s="3" t="inlineStr">
        <is>
          <t>GOV</t>
        </is>
      </c>
      <c r="C114" s="3" t="inlineStr">
        <is>
          <t>Retention disposition + certificates, DSAR template, legal hold engine</t>
        </is>
      </c>
      <c r="D114" s="3" t="inlineStr">
        <is>
          <t>P1</t>
        </is>
      </c>
      <c r="E114" s="3" t="inlineStr">
        <is>
          <t>R5</t>
        </is>
      </c>
      <c r="F114" s="3" t="inlineStr">
        <is>
          <t>Backend</t>
        </is>
      </c>
      <c r="G114" s="3" t="inlineStr">
        <is>
          <t>PRV-01/03/04</t>
        </is>
      </c>
      <c r="H114" s="3" t="inlineStr">
        <is>
          <t>Holds block deletion</t>
        </is>
      </c>
      <c r="I114" s="3" t="inlineStr">
        <is>
          <t>M</t>
        </is>
      </c>
      <c r="J114" s="3" t="inlineStr">
        <is>
          <t>BPMS-066</t>
        </is>
      </c>
      <c r="K114" s="3" t="inlineStr">
        <is>
          <t>Not started</t>
        </is>
      </c>
      <c r="L114" s="3" t="inlineStr">
        <is>
          <t>—</t>
        </is>
      </c>
      <c r="M114" s="3" t="inlineStr"/>
      <c r="N114" s="3" t="inlineStr"/>
      <c r="O114" s="3" t="inlineStr"/>
      <c r="P114" s="3" t="inlineStr"/>
    </row>
    <row r="115">
      <c r="A115" s="3" t="inlineStr">
        <is>
          <t>BPMS-165</t>
        </is>
      </c>
      <c r="B115" s="3" t="inlineStr">
        <is>
          <t>SIGN</t>
        </is>
      </c>
      <c r="C115" s="3" t="inlineStr">
        <is>
          <t>Part 11 mode, PAdES-LTV, TSA; in-person/kiosk signing</t>
        </is>
      </c>
      <c r="D115" s="3" t="inlineStr">
        <is>
          <t>P1</t>
        </is>
      </c>
      <c r="E115" s="3" t="inlineStr">
        <is>
          <t>R5</t>
        </is>
      </c>
      <c r="F115" s="3" t="inlineStr">
        <is>
          <t>Fullstack</t>
        </is>
      </c>
      <c r="G115" s="3" t="inlineStr">
        <is>
          <t>ESIG-01–05, FR-DS05, FX-S11</t>
        </is>
      </c>
      <c r="H115" s="3" t="inlineStr">
        <is>
          <t>Verification passes</t>
        </is>
      </c>
      <c r="I115" s="3" t="inlineStr">
        <is>
          <t>L</t>
        </is>
      </c>
      <c r="J115" s="3" t="inlineStr">
        <is>
          <t>BPMS-107</t>
        </is>
      </c>
      <c r="K115" s="3" t="inlineStr">
        <is>
          <t>Not started</t>
        </is>
      </c>
      <c r="L115" s="3" t="inlineStr">
        <is>
          <t>—</t>
        </is>
      </c>
      <c r="M115" s="3" t="inlineStr"/>
      <c r="N115" s="3" t="inlineStr"/>
      <c r="O115" s="3" t="inlineStr"/>
      <c r="P115" s="3" t="inlineStr"/>
    </row>
    <row r="116">
      <c r="A116" s="3" t="inlineStr">
        <is>
          <t>BPMS-166</t>
        </is>
      </c>
      <c r="B116" s="3" t="inlineStr">
        <is>
          <t>ADMIN</t>
        </is>
      </c>
      <c r="C116" s="3" t="inlineStr">
        <is>
          <t>Alert centre, custom dashboards, report builder, scheduled reports, KPI goals, usage analytics, CSAT</t>
        </is>
      </c>
      <c r="D116" s="3" t="inlineStr">
        <is>
          <t>P1</t>
        </is>
      </c>
      <c r="E116" s="3" t="inlineStr">
        <is>
          <t>R5</t>
        </is>
      </c>
      <c r="F116" s="3" t="inlineStr">
        <is>
          <t>Fullstack</t>
        </is>
      </c>
      <c r="G116" s="3" t="inlineStr">
        <is>
          <t>FR-A07–A09, FX-A01–A04, FX-R04</t>
        </is>
      </c>
      <c r="H116" s="3" t="inlineStr">
        <is>
          <t>RLS at run time</t>
        </is>
      </c>
      <c r="I116" s="3" t="inlineStr">
        <is>
          <t>XL</t>
        </is>
      </c>
      <c r="J116" s="3" t="inlineStr">
        <is>
          <t>BPMS-063</t>
        </is>
      </c>
      <c r="K116" s="3" t="inlineStr">
        <is>
          <t>Not started</t>
        </is>
      </c>
      <c r="L116" s="3" t="inlineStr">
        <is>
          <t>—</t>
        </is>
      </c>
      <c r="M116" s="3" t="inlineStr"/>
      <c r="N116" s="3" t="inlineStr"/>
      <c r="O116" s="3" t="inlineStr"/>
      <c r="P116" s="3" t="inlineStr"/>
    </row>
    <row r="117">
      <c r="A117" s="3" t="inlineStr">
        <is>
          <t>BPMS-167</t>
        </is>
      </c>
      <c r="B117" s="3" t="inlineStr">
        <is>
          <t>IAM</t>
        </is>
      </c>
      <c r="C117" s="3" t="inlineStr">
        <is>
          <t>Separation mode; break-glass</t>
        </is>
      </c>
      <c r="D117" s="3" t="inlineStr">
        <is>
          <t>P1</t>
        </is>
      </c>
      <c r="E117" s="3" t="inlineStr">
        <is>
          <t>R5</t>
        </is>
      </c>
      <c r="F117" s="3" t="inlineStr">
        <is>
          <t>Platform</t>
        </is>
      </c>
      <c r="G117" s="3" t="inlineStr">
        <is>
          <t>12 §6.1, FR-S07</t>
        </is>
      </c>
      <c r="H117" s="3" t="inlineStr">
        <is>
          <t>Visible to workspace</t>
        </is>
      </c>
      <c r="I117" s="3" t="inlineStr">
        <is>
          <t>M</t>
        </is>
      </c>
      <c r="J117" s="3" t="inlineStr">
        <is>
          <t>BPMS-024</t>
        </is>
      </c>
      <c r="K117" s="3" t="inlineStr">
        <is>
          <t>Not started</t>
        </is>
      </c>
      <c r="L117" s="3" t="inlineStr">
        <is>
          <t>—</t>
        </is>
      </c>
      <c r="M117" s="3" t="inlineStr"/>
      <c r="N117" s="3" t="inlineStr"/>
      <c r="O117" s="3" t="inlineStr"/>
      <c r="P117" s="3" t="inlineStr"/>
    </row>
    <row r="118">
      <c r="A118" s="3" t="inlineStr">
        <is>
          <t>BPMS-168</t>
        </is>
      </c>
      <c r="B118" s="3" t="inlineStr">
        <is>
          <t>LIB</t>
        </is>
      </c>
      <c r="C118" s="3" t="inlineStr">
        <is>
          <t>Role-based onboarding/training paths</t>
        </is>
      </c>
      <c r="D118" s="3" t="inlineStr">
        <is>
          <t>P1</t>
        </is>
      </c>
      <c r="E118" s="3" t="inlineStr">
        <is>
          <t>R5</t>
        </is>
      </c>
      <c r="F118" s="3" t="inlineStr">
        <is>
          <t>Fullstack</t>
        </is>
      </c>
      <c r="G118" s="3" t="inlineStr">
        <is>
          <t>FX-G07</t>
        </is>
      </c>
      <c r="H118" s="3" t="inlineStr">
        <is>
          <t>Completion reports</t>
        </is>
      </c>
      <c r="I118" s="3" t="inlineStr">
        <is>
          <t>M</t>
        </is>
      </c>
      <c r="J118" s="3" t="inlineStr">
        <is>
          <t>BPMS-046</t>
        </is>
      </c>
      <c r="K118" s="3" t="inlineStr">
        <is>
          <t>Not started</t>
        </is>
      </c>
      <c r="L118" s="3" t="inlineStr">
        <is>
          <t>—</t>
        </is>
      </c>
      <c r="M118" s="3" t="inlineStr"/>
      <c r="N118" s="3" t="inlineStr"/>
      <c r="O118" s="3" t="inlineStr"/>
      <c r="P118" s="3" t="inlineStr"/>
    </row>
    <row r="119">
      <c r="A119" s="3" t="inlineStr">
        <is>
          <t>BPMS-169</t>
        </is>
      </c>
      <c r="B119" s="3" t="inlineStr">
        <is>
          <t>E2E</t>
        </is>
      </c>
      <c r="C119" s="3" t="inlineStr">
        <is>
          <t>E2E-R5 pack incl. investigations, Part 11, break-glass</t>
        </is>
      </c>
      <c r="D119" s="3" t="inlineStr">
        <is>
          <t>P1</t>
        </is>
      </c>
      <c r="E119" s="3" t="inlineStr">
        <is>
          <t>R5</t>
        </is>
      </c>
      <c r="F119" s="3" t="inlineStr">
        <is>
          <t>SDET + feature owners</t>
        </is>
      </c>
      <c r="G119" s="3" t="inlineStr">
        <is>
          <t>23 §5</t>
        </is>
      </c>
      <c r="H119" s="3" t="inlineStr">
        <is>
          <t>Green</t>
        </is>
      </c>
      <c r="I119" s="3" t="inlineStr">
        <is>
          <t>L</t>
        </is>
      </c>
      <c r="J119" s="3" t="inlineStr">
        <is>
          <t>BPMS-152</t>
        </is>
      </c>
      <c r="K119" s="3" t="inlineStr">
        <is>
          <t>Not started</t>
        </is>
      </c>
      <c r="L119" s="3" t="inlineStr">
        <is>
          <t>—</t>
        </is>
      </c>
      <c r="M119" s="3" t="inlineStr"/>
      <c r="N119" s="3" t="inlineStr"/>
      <c r="O119" s="3" t="inlineStr"/>
      <c r="P119" s="3" t="inlineStr"/>
    </row>
    <row r="120">
      <c r="A120" s="3" t="inlineStr">
        <is>
          <t>BPMS-186</t>
        </is>
      </c>
      <c r="B120" s="3" t="inlineStr">
        <is>
          <t>AI</t>
        </is>
      </c>
      <c r="C120" s="3" t="inlineStr">
        <is>
          <t>AI assistance P1 set (drafting, summaries, translate, Q&amp;A) behind kill switch</t>
        </is>
      </c>
      <c r="D120" s="3" t="inlineStr">
        <is>
          <t>P1</t>
        </is>
      </c>
      <c r="E120" s="3" t="inlineStr">
        <is>
          <t>R5</t>
        </is>
      </c>
      <c r="F120" s="3" t="inlineStr">
        <is>
          <t>Fullstack</t>
        </is>
      </c>
      <c r="G120" s="3" t="inlineStr">
        <is>
          <t>16, ADR-0006</t>
        </is>
      </c>
      <c r="H120" s="3" t="inlineStr">
        <is>
          <t>Eval thresholds</t>
        </is>
      </c>
      <c r="I120" s="3" t="inlineStr">
        <is>
          <t>L</t>
        </is>
      </c>
      <c r="J120" s="3" t="inlineStr"/>
      <c r="K120" s="3" t="inlineStr">
        <is>
          <t>Not started</t>
        </is>
      </c>
      <c r="L120" s="3" t="inlineStr">
        <is>
          <t>—</t>
        </is>
      </c>
      <c r="M120" s="3" t="inlineStr"/>
      <c r="N120" s="3" t="inlineStr"/>
      <c r="O120" s="3" t="inlineStr"/>
      <c r="P120" s="3" t="inlineStr"/>
    </row>
    <row r="121">
      <c r="A121" s="3" t="inlineStr">
        <is>
          <t>BPMS-180</t>
        </is>
      </c>
      <c r="B121" s="3" t="inlineStr">
        <is>
          <t>OPS</t>
        </is>
      </c>
      <c r="C121" s="3" t="inlineStr">
        <is>
          <t>Load test at reference load; HA failover; RPO/RTO restore drill</t>
        </is>
      </c>
      <c r="D121" s="3" t="inlineStr">
        <is>
          <t>P1</t>
        </is>
      </c>
      <c r="E121" s="3" t="inlineStr">
        <is>
          <t>GA</t>
        </is>
      </c>
      <c r="F121" s="3" t="inlineStr">
        <is>
          <t>SRE</t>
        </is>
      </c>
      <c r="G121" s="3" t="inlineStr">
        <is>
          <t>06, T09</t>
        </is>
      </c>
      <c r="H121" s="3" t="inlineStr">
        <is>
          <t>Targets met</t>
        </is>
      </c>
      <c r="I121" s="3" t="inlineStr">
        <is>
          <t>L</t>
        </is>
      </c>
      <c r="J121" s="3" t="inlineStr"/>
      <c r="K121" s="3" t="inlineStr">
        <is>
          <t>Not started</t>
        </is>
      </c>
      <c r="L121" s="3" t="inlineStr">
        <is>
          <t>—</t>
        </is>
      </c>
      <c r="M121" s="3" t="inlineStr"/>
      <c r="N121" s="3" t="inlineStr"/>
      <c r="O121" s="3" t="inlineStr"/>
      <c r="P121" s="3" t="inlineStr"/>
    </row>
    <row r="122">
      <c r="A122" s="3" t="inlineStr">
        <is>
          <t>BPMS-181</t>
        </is>
      </c>
      <c r="B122" s="3" t="inlineStr">
        <is>
          <t>SEC</t>
        </is>
      </c>
      <c r="C122" s="3" t="inlineStr">
        <is>
          <t>External pentest + ASVS L2 self-assessment + fixes</t>
        </is>
      </c>
      <c r="D122" s="3" t="inlineStr">
        <is>
          <t>P1</t>
        </is>
      </c>
      <c r="E122" s="3" t="inlineStr">
        <is>
          <t>GA</t>
        </is>
      </c>
      <c r="F122" s="3" t="inlineStr">
        <is>
          <t>Security</t>
        </is>
      </c>
      <c r="G122" s="3" t="inlineStr">
        <is>
          <t>06</t>
        </is>
      </c>
      <c r="H122" s="3" t="inlineStr">
        <is>
          <t>0 crit/high</t>
        </is>
      </c>
      <c r="I122" s="3" t="inlineStr">
        <is>
          <t>M</t>
        </is>
      </c>
      <c r="J122" s="3" t="inlineStr"/>
      <c r="K122" s="3" t="inlineStr">
        <is>
          <t>Not started</t>
        </is>
      </c>
      <c r="L122" s="3" t="inlineStr">
        <is>
          <t>—</t>
        </is>
      </c>
      <c r="M122" s="3" t="inlineStr"/>
      <c r="N122" s="3" t="inlineStr"/>
      <c r="O122" s="3" t="inlineStr"/>
      <c r="P122" s="3" t="inlineStr"/>
    </row>
    <row r="123">
      <c r="A123" s="3" t="inlineStr">
        <is>
          <t>BPMS-182</t>
        </is>
      </c>
      <c r="B123" s="3" t="inlineStr">
        <is>
          <t>UX</t>
        </is>
      </c>
      <c r="C123" s="3" t="inlineStr">
        <is>
          <t>WCAG 2.2 AA audit + VPAT 2.5 INT</t>
        </is>
      </c>
      <c r="D123" s="3" t="inlineStr">
        <is>
          <t>P1</t>
        </is>
      </c>
      <c r="E123" s="3" t="inlineStr">
        <is>
          <t>GA</t>
        </is>
      </c>
      <c r="F123" s="3" t="inlineStr">
        <is>
          <t>Design/QA</t>
        </is>
      </c>
      <c r="G123" s="3" t="inlineStr">
        <is>
          <t>A11Y-01/03</t>
        </is>
      </c>
      <c r="H123" s="3" t="inlineStr">
        <is>
          <t>Audit pass</t>
        </is>
      </c>
      <c r="I123" s="3" t="inlineStr">
        <is>
          <t>M</t>
        </is>
      </c>
      <c r="J123" s="3" t="inlineStr"/>
      <c r="K123" s="3" t="inlineStr">
        <is>
          <t>Not started</t>
        </is>
      </c>
      <c r="L123" s="3" t="inlineStr">
        <is>
          <t>—</t>
        </is>
      </c>
      <c r="M123" s="3" t="inlineStr"/>
      <c r="N123" s="3" t="inlineStr"/>
      <c r="O123" s="3" t="inlineStr"/>
      <c r="P123" s="3" t="inlineStr"/>
    </row>
    <row r="124">
      <c r="A124" s="3" t="inlineStr">
        <is>
          <t>BPMS-183</t>
        </is>
      </c>
      <c r="B124" s="3" t="inlineStr">
        <is>
          <t>I18N</t>
        </is>
      </c>
      <c r="C124" s="3" t="inlineStr">
        <is>
          <t>3 UI languages + RTL + pseudo-locale</t>
        </is>
      </c>
      <c r="D124" s="3" t="inlineStr">
        <is>
          <t>P1</t>
        </is>
      </c>
      <c r="E124" s="3" t="inlineStr">
        <is>
          <t>GA</t>
        </is>
      </c>
      <c r="F124" s="3" t="inlineStr">
        <is>
          <t>FE</t>
        </is>
      </c>
      <c r="G124" s="3" t="inlineStr">
        <is>
          <t>FR-P04, OQ-09</t>
        </is>
      </c>
      <c r="H124" s="3" t="inlineStr">
        <is>
          <t>Checks pass</t>
        </is>
      </c>
      <c r="I124" s="3" t="inlineStr">
        <is>
          <t>M</t>
        </is>
      </c>
      <c r="J124" s="3" t="inlineStr"/>
      <c r="K124" s="3" t="inlineStr">
        <is>
          <t>Not started</t>
        </is>
      </c>
      <c r="L124" s="3" t="inlineStr">
        <is>
          <t>—</t>
        </is>
      </c>
      <c r="M124" s="3" t="inlineStr"/>
      <c r="N124" s="3" t="inlineStr"/>
      <c r="O124" s="3" t="inlineStr"/>
      <c r="P124" s="3" t="inlineStr"/>
    </row>
    <row r="125">
      <c r="A125" s="3" t="inlineStr">
        <is>
          <t>BPMS-184</t>
        </is>
      </c>
      <c r="B125" s="3" t="inlineStr">
        <is>
          <t>OPS</t>
        </is>
      </c>
      <c r="C125" s="3" t="inlineStr">
        <is>
          <t>Helm chart, air-gapped bundle, upgrade N-1→N tests, dedicated-DB tier</t>
        </is>
      </c>
      <c r="D125" s="3" t="inlineStr">
        <is>
          <t>P1</t>
        </is>
      </c>
      <c r="E125" s="3" t="inlineStr">
        <is>
          <t>GA</t>
        </is>
      </c>
      <c r="F125" s="3" t="inlineStr">
        <is>
          <t>DevOps</t>
        </is>
      </c>
      <c r="G125" s="3" t="inlineStr">
        <is>
          <t>FR-P06, FR-S10</t>
        </is>
      </c>
      <c r="H125" s="3" t="inlineStr">
        <is>
          <t>Upgrade with live instances</t>
        </is>
      </c>
      <c r="I125" s="3" t="inlineStr">
        <is>
          <t>L</t>
        </is>
      </c>
      <c r="J125" s="3" t="inlineStr"/>
      <c r="K125" s="3" t="inlineStr">
        <is>
          <t>Not started</t>
        </is>
      </c>
      <c r="L125" s="3" t="inlineStr">
        <is>
          <t>—</t>
        </is>
      </c>
      <c r="M125" s="3" t="inlineStr"/>
      <c r="N125" s="3" t="inlineStr"/>
      <c r="O125" s="3" t="inlineStr"/>
      <c r="P125" s="3" t="inlineStr"/>
    </row>
    <row r="126">
      <c r="A126" s="3" t="inlineStr">
        <is>
          <t>BPMS-185</t>
        </is>
      </c>
      <c r="B126" s="3" t="inlineStr">
        <is>
          <t>DOC</t>
        </is>
      </c>
      <c r="C126" s="3" t="inlineStr">
        <is>
          <t>Docs site, admin guide, API reference, trust pack</t>
        </is>
      </c>
      <c r="D126" s="3" t="inlineStr">
        <is>
          <t>P1</t>
        </is>
      </c>
      <c r="E126" s="3" t="inlineStr">
        <is>
          <t>GA</t>
        </is>
      </c>
      <c r="F126" s="3" t="inlineStr">
        <is>
          <t>Writer</t>
        </is>
      </c>
      <c r="G126" s="3" t="inlineStr">
        <is>
          <t>FX-P06</t>
        </is>
      </c>
      <c r="H126" s="3" t="inlineStr">
        <is>
          <t>Published</t>
        </is>
      </c>
      <c r="I126" s="3" t="inlineStr">
        <is>
          <t>M</t>
        </is>
      </c>
      <c r="J126" s="3" t="inlineStr"/>
      <c r="K126" s="3" t="inlineStr">
        <is>
          <t>Not started</t>
        </is>
      </c>
      <c r="L126" s="3" t="inlineStr">
        <is>
          <t>—</t>
        </is>
      </c>
      <c r="M126" s="3" t="inlineStr"/>
      <c r="N126" s="3" t="inlineStr"/>
      <c r="O126" s="3" t="inlineStr"/>
      <c r="P126" s="3" t="inlineStr"/>
    </row>
    <row r="127">
      <c r="A127" s="3" t="inlineStr">
        <is>
          <t>BPMS-187</t>
        </is>
      </c>
      <c r="B127" s="3" t="inlineStr">
        <is>
          <t>E2E</t>
        </is>
      </c>
      <c r="C127" s="3" t="inlineStr">
        <is>
          <t>E2E-GA regression: 3 browsers × 2 viewports, cache-off, upgrade-path R1→1.0, air-gapped</t>
        </is>
      </c>
      <c r="D127" s="3" t="inlineStr">
        <is>
          <t>P1</t>
        </is>
      </c>
      <c r="E127" s="3" t="inlineStr">
        <is>
          <t>GA</t>
        </is>
      </c>
      <c r="F127" s="3" t="inlineStr">
        <is>
          <t>SDET</t>
        </is>
      </c>
      <c r="G127" s="3" t="inlineStr">
        <is>
          <t>23 §5</t>
        </is>
      </c>
      <c r="H127" s="3" t="inlineStr">
        <is>
          <t>Green; flake &lt; 0.5 %</t>
        </is>
      </c>
      <c r="I127" s="3" t="inlineStr">
        <is>
          <t>M</t>
        </is>
      </c>
      <c r="J127" s="3" t="inlineStr">
        <is>
          <t>BPMS-169</t>
        </is>
      </c>
      <c r="K127" s="3" t="inlineStr">
        <is>
          <t>Not started</t>
        </is>
      </c>
      <c r="L127" s="3" t="inlineStr">
        <is>
          <t>—</t>
        </is>
      </c>
      <c r="M127" s="3" t="inlineStr"/>
      <c r="N127" s="3" t="inlineStr"/>
      <c r="O127" s="3" t="inlineStr"/>
      <c r="P127" s="3" t="inlineStr"/>
    </row>
    <row r="128">
      <c r="A128" s="3" t="inlineStr">
        <is>
          <t>BPMS-190</t>
        </is>
      </c>
      <c r="B128" s="3" t="inlineStr">
        <is>
          <t>REL</t>
        </is>
      </c>
      <c r="C128" s="3" t="inlineStr">
        <is>
          <t>GA release: signed artefacts, SBOM, provenance, runbooks</t>
        </is>
      </c>
      <c r="D128" s="3" t="inlineStr">
        <is>
          <t>P1</t>
        </is>
      </c>
      <c r="E128" s="3" t="inlineStr">
        <is>
          <t>GA</t>
        </is>
      </c>
      <c r="F128" s="3" t="inlineStr">
        <is>
          <t>Tech lead</t>
        </is>
      </c>
      <c r="G128" s="3" t="inlineStr">
        <is>
          <t>G5</t>
        </is>
      </c>
      <c r="H128" s="3" t="inlineStr">
        <is>
          <t>Released</t>
        </is>
      </c>
      <c r="I128" s="3" t="inlineStr">
        <is>
          <t>S</t>
        </is>
      </c>
      <c r="J128" s="3" t="inlineStr">
        <is>
          <t>M10</t>
        </is>
      </c>
      <c r="K128" s="3" t="inlineStr">
        <is>
          <t>Not started</t>
        </is>
      </c>
      <c r="L128" s="3" t="inlineStr">
        <is>
          <t>—</t>
        </is>
      </c>
      <c r="M128" s="3" t="inlineStr"/>
      <c r="N128" s="3" t="inlineStr"/>
      <c r="O128" s="3" t="inlineStr"/>
      <c r="P128" s="3" t="inlineStr"/>
    </row>
    <row r="129">
      <c r="A129" s="3" t="inlineStr">
        <is>
          <t>BPMS-200</t>
        </is>
      </c>
      <c r="B129" s="3" t="inlineStr">
        <is>
          <t>INT</t>
        </is>
      </c>
      <c r="C129" s="3" t="inlineStr">
        <is>
          <t>Chat/host-platform connectors (identity, embed, cards, notifications, directory)</t>
        </is>
      </c>
      <c r="D129" s="3" t="inlineStr">
        <is>
          <t>P2</t>
        </is>
      </c>
      <c r="E129" s="3" t="inlineStr">
        <is>
          <t>POST</t>
        </is>
      </c>
      <c r="F129" s="3" t="inlineStr">
        <is>
          <t>Backend</t>
        </is>
      </c>
      <c r="G129" s="3" t="inlineStr">
        <is>
          <t>13 §4</t>
        </is>
      </c>
      <c r="H129" s="3" t="inlineStr">
        <is>
          <t>Demand gate</t>
        </is>
      </c>
      <c r="I129" s="3" t="inlineStr">
        <is>
          <t>XL</t>
        </is>
      </c>
      <c r="J129" s="3" t="inlineStr"/>
      <c r="K129" s="3" t="inlineStr">
        <is>
          <t>Not started</t>
        </is>
      </c>
      <c r="L129" s="3" t="inlineStr">
        <is>
          <t>—</t>
        </is>
      </c>
      <c r="M129" s="3" t="inlineStr"/>
      <c r="N129" s="3" t="inlineStr"/>
      <c r="O129" s="3" t="inlineStr"/>
      <c r="P129" s="3" t="inlineStr"/>
    </row>
    <row r="130">
      <c r="A130" s="3" t="inlineStr">
        <is>
          <t>BPMS-201</t>
        </is>
      </c>
      <c r="B130" s="3" t="inlineStr">
        <is>
          <t>INT</t>
        </is>
      </c>
      <c r="C130" s="3" t="inlineStr">
        <is>
          <t>Chat cards (Slack/Teams), M365/Google, HRIS, ERP connectors</t>
        </is>
      </c>
      <c r="D130" s="3" t="inlineStr">
        <is>
          <t>P2</t>
        </is>
      </c>
      <c r="E130" s="3" t="inlineStr">
        <is>
          <t>POST</t>
        </is>
      </c>
      <c r="F130" s="3" t="inlineStr">
        <is>
          <t>Backend</t>
        </is>
      </c>
      <c r="G130" s="3" t="inlineStr">
        <is>
          <t>INT-*</t>
        </is>
      </c>
      <c r="H130" s="3" t="inlineStr">
        <is>
          <t>—</t>
        </is>
      </c>
      <c r="I130" s="3" t="inlineStr">
        <is>
          <t>XL</t>
        </is>
      </c>
      <c r="J130" s="3" t="inlineStr"/>
      <c r="K130" s="3" t="inlineStr">
        <is>
          <t>Not started</t>
        </is>
      </c>
      <c r="L130" s="3" t="inlineStr">
        <is>
          <t>—</t>
        </is>
      </c>
      <c r="M130" s="3" t="inlineStr"/>
      <c r="N130" s="3" t="inlineStr"/>
      <c r="O130" s="3" t="inlineStr"/>
      <c r="P130" s="3" t="inlineStr"/>
    </row>
    <row r="131">
      <c r="A131" s="3" t="inlineStr">
        <is>
          <t>BPMS-202</t>
        </is>
      </c>
      <c r="B131" s="3" t="inlineStr">
        <is>
          <t>SIGN</t>
        </is>
      </c>
      <c r="C131" s="3" t="inlineStr">
        <is>
          <t>QES via QTSP; Aadhaar eSign via ESP; SMS/IDV providers</t>
        </is>
      </c>
      <c r="D131" s="3" t="inlineStr">
        <is>
          <t>P2</t>
        </is>
      </c>
      <c r="E131" s="3" t="inlineStr">
        <is>
          <t>POST</t>
        </is>
      </c>
      <c r="F131" s="3" t="inlineStr">
        <is>
          <t>Backend</t>
        </is>
      </c>
      <c r="G131" s="3" t="inlineStr">
        <is>
          <t>FX-S13, FX-S07</t>
        </is>
      </c>
      <c r="H131" s="3" t="inlineStr">
        <is>
          <t>—</t>
        </is>
      </c>
      <c r="I131" s="3" t="inlineStr">
        <is>
          <t>L</t>
        </is>
      </c>
      <c r="J131" s="3" t="inlineStr"/>
      <c r="K131" s="3" t="inlineStr">
        <is>
          <t>Not started</t>
        </is>
      </c>
      <c r="L131" s="3" t="inlineStr">
        <is>
          <t>—</t>
        </is>
      </c>
      <c r="M131" s="3" t="inlineStr"/>
      <c r="N131" s="3" t="inlineStr"/>
      <c r="O131" s="3" t="inlineStr"/>
      <c r="P131" s="3" t="inlineStr"/>
    </row>
    <row r="132">
      <c r="A132" s="3" t="inlineStr">
        <is>
          <t>BPMS-203</t>
        </is>
      </c>
      <c r="B132" s="3" t="inlineStr">
        <is>
          <t>EXEC</t>
        </is>
      </c>
      <c r="C132" s="3" t="inlineStr">
        <is>
          <t>BPMN view (diagram-js), DMN import/export, migration tool, simulation</t>
        </is>
      </c>
      <c r="D132" s="3" t="inlineStr">
        <is>
          <t>P2</t>
        </is>
      </c>
      <c r="E132" s="3" t="inlineStr">
        <is>
          <t>POST</t>
        </is>
      </c>
      <c r="F132" s="3" t="inlineStr">
        <is>
          <t>Runtime/FE</t>
        </is>
      </c>
      <c r="G132" s="3" t="inlineStr">
        <is>
          <t>ADR-0018, FR-E07/E10, FR-I04</t>
        </is>
      </c>
      <c r="H132" s="3" t="inlineStr">
        <is>
          <t>—</t>
        </is>
      </c>
      <c r="I132" s="3" t="inlineStr">
        <is>
          <t>XL</t>
        </is>
      </c>
      <c r="J132" s="3" t="inlineStr"/>
      <c r="K132" s="3" t="inlineStr">
        <is>
          <t>Not started</t>
        </is>
      </c>
      <c r="L132" s="3" t="inlineStr">
        <is>
          <t>—</t>
        </is>
      </c>
      <c r="M132" s="3" t="inlineStr"/>
      <c r="N132" s="3" t="inlineStr"/>
      <c r="O132" s="3" t="inlineStr"/>
      <c r="P132" s="3" t="inlineStr"/>
    </row>
    <row r="133">
      <c r="A133" s="3" t="inlineStr">
        <is>
          <t>BPMS-204</t>
        </is>
      </c>
      <c r="B133" s="3" t="inlineStr">
        <is>
          <t>INS</t>
        </is>
      </c>
      <c r="C133" s="3" t="inlineStr">
        <is>
          <t>Event-log export OCEL 2.0 / XES</t>
        </is>
      </c>
      <c r="D133" s="3" t="inlineStr">
        <is>
          <t>P2</t>
        </is>
      </c>
      <c r="E133" s="3" t="inlineStr">
        <is>
          <t>POST</t>
        </is>
      </c>
      <c r="F133" s="3" t="inlineStr">
        <is>
          <t>Data</t>
        </is>
      </c>
      <c r="G133" s="3" t="inlineStr">
        <is>
          <t>FR-I03</t>
        </is>
      </c>
      <c r="H133" s="3" t="inlineStr">
        <is>
          <t>Schema-valid</t>
        </is>
      </c>
      <c r="I133" s="3" t="inlineStr">
        <is>
          <t>M</t>
        </is>
      </c>
      <c r="J133" s="3" t="inlineStr"/>
      <c r="K133" s="3" t="inlineStr">
        <is>
          <t>Not started</t>
        </is>
      </c>
      <c r="L133" s="3" t="inlineStr">
        <is>
          <t>—</t>
        </is>
      </c>
      <c r="M133" s="3" t="inlineStr"/>
      <c r="N133" s="3" t="inlineStr"/>
      <c r="O133" s="3" t="inlineStr"/>
      <c r="P133" s="3" t="inlineStr"/>
    </row>
    <row r="134">
      <c r="A134" s="3" t="inlineStr">
        <is>
          <t>BPMS-205</t>
        </is>
      </c>
      <c r="B134" s="3" t="inlineStr">
        <is>
          <t>AI</t>
        </is>
      </c>
      <c r="C134" s="3" t="inlineStr">
        <is>
          <t>Governed AI agent steps</t>
        </is>
      </c>
      <c r="D134" s="3" t="inlineStr">
        <is>
          <t>P2</t>
        </is>
      </c>
      <c r="E134" s="3" t="inlineStr">
        <is>
          <t>POST</t>
        </is>
      </c>
      <c r="F134" s="3" t="inlineStr">
        <is>
          <t>Fullstack</t>
        </is>
      </c>
      <c r="G134" s="3" t="inlineStr">
        <is>
          <t>16</t>
        </is>
      </c>
      <c r="H134" s="3" t="inlineStr">
        <is>
          <t>Human gate</t>
        </is>
      </c>
      <c r="I134" s="3" t="inlineStr">
        <is>
          <t>L</t>
        </is>
      </c>
      <c r="J134" s="3" t="inlineStr"/>
      <c r="K134" s="3" t="inlineStr">
        <is>
          <t>Not started</t>
        </is>
      </c>
      <c r="L134" s="3" t="inlineStr">
        <is>
          <t>—</t>
        </is>
      </c>
      <c r="M134" s="3" t="inlineStr"/>
      <c r="N134" s="3" t="inlineStr"/>
      <c r="O134" s="3" t="inlineStr"/>
      <c r="P134" s="3" t="inlineStr"/>
    </row>
    <row r="135">
      <c r="A135" s="3" t="inlineStr">
        <is>
          <t>BPMS-230</t>
        </is>
      </c>
      <c r="B135" s="3" t="inlineStr">
        <is>
          <t>HR</t>
        </is>
      </c>
      <c r="C135" s="3" t="inlineStr">
        <is>
          <t>Future: payroll calculation (components, pay groups, monthly run from closed attendance, country rules as plug-ins, bank file)</t>
        </is>
      </c>
      <c r="D135" s="3" t="inlineStr">
        <is>
          <t>P2</t>
        </is>
      </c>
      <c r="E135" s="3" t="inlineStr">
        <is>
          <t>POST</t>
        </is>
      </c>
      <c r="F135" s="3" t="inlineStr">
        <is>
          <t>Fullstack</t>
        </is>
      </c>
      <c r="G135" s="3" t="inlineStr">
        <is>
          <t>docs/25 §11</t>
        </is>
      </c>
      <c r="H135" s="3" t="inlineStr">
        <is>
          <t>Own design doc + ADR first</t>
        </is>
      </c>
      <c r="I135" s="3" t="inlineStr">
        <is>
          <t>XL</t>
        </is>
      </c>
      <c r="J135" s="3" t="inlineStr">
        <is>
          <t>BPMS-229</t>
        </is>
      </c>
      <c r="K135" s="3" t="inlineStr">
        <is>
          <t>Not started</t>
        </is>
      </c>
      <c r="L135" s="3" t="inlineStr">
        <is>
          <t>—</t>
        </is>
      </c>
      <c r="M135" s="3" t="inlineStr"/>
      <c r="N135" s="3" t="inlineStr"/>
      <c r="O135" s="3" t="inlineStr"/>
      <c r="P135" s="3" t="inlineStr"/>
    </row>
    <row r="136">
      <c r="A136" s="3" t="inlineStr">
        <is>
          <t>BPMS-231</t>
        </is>
      </c>
      <c r="B136" s="3" t="inlineStr">
        <is>
          <t>HR</t>
        </is>
      </c>
      <c r="C136" s="3" t="inlineStr">
        <is>
          <t>Future: releasing documents to people (payslips, letters) generated per person, encrypted, batch release, My documents, ack or e-sign</t>
        </is>
      </c>
      <c r="D136" s="3" t="inlineStr">
        <is>
          <t>P2</t>
        </is>
      </c>
      <c r="E136" s="3" t="inlineStr">
        <is>
          <t>POST</t>
        </is>
      </c>
      <c r="F136" s="3" t="inlineStr">
        <is>
          <t>Fullstack</t>
        </is>
      </c>
      <c r="G136" s="3" t="inlineStr">
        <is>
          <t>docs/25 §11</t>
        </is>
      </c>
      <c r="H136" s="3" t="inlineStr">
        <is>
          <t>Own design doc first</t>
        </is>
      </c>
      <c r="I136" s="3" t="inlineStr">
        <is>
          <t>L</t>
        </is>
      </c>
      <c r="J136" s="3" t="inlineStr">
        <is>
          <t>BPMS-107</t>
        </is>
      </c>
      <c r="K136" s="3" t="inlineStr">
        <is>
          <t>Not started</t>
        </is>
      </c>
      <c r="L136" s="3" t="inlineStr">
        <is>
          <t>—</t>
        </is>
      </c>
      <c r="M136" s="3" t="inlineStr"/>
      <c r="N136" s="3" t="inlineStr"/>
      <c r="O136" s="3" t="inlineStr"/>
      <c r="P136" s="3" t="inlineStr"/>
    </row>
  </sheetData>
  <conditionalFormatting sqref="K2:K13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3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9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(in E2E-R4-SSO-01..02, UI-08) OIDC SSO via a standards-conformant provider (a mock OIDC provider in e2e; Keycloak in the interop pack later);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(in E2E-R4-EA-01) 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E2E-R4-EA-01</t>
        </is>
      </c>
      <c r="C470" s="3" t="inlineStr">
        <is>
          <t>API: the manager's leave approval email carries a link; reading it (twice) decides nothing and shows who decides; rejecting without a reason and nonsense outcomes refused; approving decides once (request approved, decided by the manager); a second use is 409 and the page says used; unknown tokens 404 | FR-N03, E2E-R4-06</t>
        </is>
      </c>
      <c r="D470" s="3" t="inlineStr">
        <is>
          <t>23-E2E-TEST-PLAN.md</t>
        </is>
      </c>
      <c r="E470" s="3" t="inlineStr">
        <is>
          <t>Not started</t>
        </is>
      </c>
    </row>
    <row r="471">
      <c r="A471" s="3" t="inlineStr">
        <is>
          <t>E2E scenarios (E2E)</t>
        </is>
      </c>
      <c r="B471" s="3" t="inlineStr">
        <is>
          <t>E2E-R4-EA-02</t>
        </is>
      </c>
      <c r="C471" s="3" t="inlineStr">
        <is>
          <t>API: a step decided in My work closes its link (409); with `notify.email_actions.enabled` off the next email has no link | FR-N03</t>
        </is>
      </c>
      <c r="D471" s="3" t="inlineStr">
        <is>
          <t>23-E2E-TEST-PLAN.md</t>
        </is>
      </c>
      <c r="E471" s="3" t="inlineStr">
        <is>
          <t>Not started</t>
        </is>
      </c>
    </row>
    <row r="472">
      <c r="A472" s="3" t="inlineStr">
        <is>
          <t>E2E scenarios (E2E)</t>
        </is>
      </c>
      <c r="B472" s="3" t="inlineStr">
        <is>
          <t>E2E-R4-UI-07</t>
        </is>
      </c>
      <c r="C472" s="3" t="inlineStr">
        <is>
          <t>Browser, signed out: the Reject link opens the confirm page with the request, its answers and “deciding as”; Reject stays off until a reason; confirming rejects with that comment; opening the link again says it was used; axe | FR-N03</t>
        </is>
      </c>
      <c r="D472" s="3" t="inlineStr">
        <is>
          <t>23-E2E-TEST-PLAN.md</t>
        </is>
      </c>
      <c r="E472" s="3" t="inlineStr">
        <is>
          <t>Not started</t>
        </is>
      </c>
    </row>
    <row r="473">
      <c r="A473" s="3" t="inlineStr">
        <is>
          <t>E2E scenarios (E2E)</t>
        </is>
      </c>
      <c r="B473" s="3" t="inlineStr">
        <is>
          <t>E2E-R4-SSO-01</t>
        </is>
      </c>
      <c r="C473" s="3" t="inlineStr">
        <is>
          <t>API: a provider whose discovery doesn't answer is refused (422); saving stores domains lower-cased and never returns the secret; discover finds the workspace for a trusted-domain email and nothing for others; a member signs in through the provider (code + PKCE + nonce) into the workspace with `amr` `sso`,`mfa`; the same state can't be reused; a later sign-in matches by subject although the email changed; a wrong nonce, an unverified email, an untrusted domain and a non-member are each sent back to sign-in with the reason | FR-P02, E2E-R4-01</t>
        </is>
      </c>
      <c r="D473" s="3" t="inlineStr">
        <is>
          <t>23-E2E-TEST-PLAN.md</t>
        </is>
      </c>
      <c r="E473" s="3" t="inlineStr">
        <is>
          <t>Not started</t>
        </is>
      </c>
    </row>
    <row r="474">
      <c r="A474" s="3" t="inlineStr">
        <is>
          <t>E2E scenarios (E2E)</t>
        </is>
      </c>
      <c r="B474" s="3" t="inlineStr">
        <is>
          <t>E2E-R4-SSO-02</t>
        </is>
      </c>
      <c r="C474" s="3" t="inlineStr">
        <is>
          <t>API: with SSO required, a member's earlier password session is refused (403 `sso_required`) while the owner's still works (break-glass); signing in through the provider works; removing SSO lets the password session back in | FR-P02, E2E-R4-01</t>
        </is>
      </c>
      <c r="D474" s="3" t="inlineStr">
        <is>
          <t>23-E2E-TEST-PLAN.md</t>
        </is>
      </c>
      <c r="E474" s="3" t="inlineStr">
        <is>
          <t>Not started</t>
        </is>
      </c>
    </row>
    <row r="475">
      <c r="A475" s="3" t="inlineStr">
        <is>
          <t>E2E scenarios (E2E)</t>
        </is>
      </c>
      <c r="B475" s="3" t="inlineStr">
        <is>
          <t>E2E-R4-UI-08</t>
        </is>
      </c>
      <c r="C475" s="3" t="inlineStr">
        <is>
          <t>Browser: Admin › Single sign-on shows the redirect URL; the owner sets issuer, client, secret and domain and saves (the secret field then says Saved); signed out, a member chooses Sign in with SSO, enters their email, and an unverified email comes back with the reason; then they go through the provider and land in the workspace; axe | BPMS-140</t>
        </is>
      </c>
      <c r="D475" s="3" t="inlineStr">
        <is>
          <t>23-E2E-TEST-PLAN.md</t>
        </is>
      </c>
      <c r="E475" s="3" t="inlineStr">
        <is>
          <t>Not started</t>
        </is>
      </c>
    </row>
    <row r="476">
      <c r="A476" s="3" t="inlineStr">
        <is>
          <t>E2E scenarios (E2E)</t>
        </is>
      </c>
      <c r="B476" s="3" t="inlineStr">
        <is>
          <t>E2E-R4-TOK-01</t>
        </is>
      </c>
      <c r="C476" s="3" t="inlineStr">
        <is>
          <t>API: a personal token (`prc_live_…`, shown once) reads within its permissions; refused outside them (members, audit), for decisions, the account and token management; a wrong secret is 401; last used is recorded; revoked → 401 at once | 06 §3.5, BPMS-144</t>
        </is>
      </c>
      <c r="D476" s="3" t="inlineStr">
        <is>
          <t>23-E2E-TEST-PLAN.md</t>
        </is>
      </c>
      <c r="E476" s="3" t="inlineStr">
        <is>
          <t>Not started</t>
        </is>
      </c>
    </row>
    <row r="477">
      <c r="A477" s="3" t="inlineStr">
        <is>
          <t>E2E scenarios (E2E)</t>
        </is>
      </c>
      <c r="B477" s="3" t="inlineStr">
        <is>
          <t>E2E-R4-TOK-02</t>
        </is>
      </c>
      <c r="C477" s="3" t="inlineStr">
        <is>
          <t>API: a member can't give a token permissions they lack (403) or unknown ones (422), nor list or revoke others' tokens | 12 §4</t>
        </is>
      </c>
      <c r="D477" s="3" t="inlineStr">
        <is>
          <t>23-E2E-TEST-PLAN.md</t>
        </is>
      </c>
      <c r="E477" s="3" t="inlineStr">
        <is>
          <t>Not started</t>
        </is>
      </c>
    </row>
    <row r="478">
      <c r="A478" s="3" t="inlineStr">
        <is>
          <t>E2E scenarios (E2E)</t>
        </is>
      </c>
      <c r="B478" s="3" t="inlineStr">
        <is>
          <t>E2E-R4-UI-01</t>
        </is>
      </c>
      <c r="C478" s="3" t="inlineStr">
        <is>
          <t>Browser: Account › API tokens — make a read-only token, copy it from the show-once dialog, a script reads with it and is refused an invite, revoke it in the list → 401; axe | BPMS-144</t>
        </is>
      </c>
      <c r="D478" s="3" t="inlineStr">
        <is>
          <t>23-E2E-TEST-PLAN.md</t>
        </is>
      </c>
      <c r="E478" s="3" t="inlineStr">
        <is>
          <t>Not started</t>
        </is>
      </c>
    </row>
    <row r="479">
      <c r="A479" s="3" t="inlineStr">
        <is>
          <t>E2E scenarios (E2E)</t>
        </is>
      </c>
      <c r="B479" s="3" t="inlineStr">
        <is>
          <t>E2E-R4-ISO</t>
        </is>
      </c>
      <c r="C479" s="3" t="inlineStr">
        <is>
          <t>Isolation sweep incl. tokens, webhooks, connectors | SEC-</t>
        </is>
      </c>
      <c r="D479" s="3" t="inlineStr">
        <is>
          <t>23-E2E-TEST-PLAN.md</t>
        </is>
      </c>
      <c r="E479" s="3" t="inlineStr">
        <is>
          <t>Not started</t>
        </is>
      </c>
    </row>
    <row r="480">
      <c r="A480" s="3" t="inlineStr">
        <is>
          <t>E2E scenarios (E2E)</t>
        </is>
      </c>
      <c r="B480" s="3" t="inlineStr">
        <is>
          <t>E2E-R5-01</t>
        </is>
      </c>
      <c r="C480" s="3" t="inlineStr">
        <is>
          <t>Incident case (J4): intake → evidence → ad hoc tasks → closure blocked until checklist done → audit export | J4, FR-C01/C02</t>
        </is>
      </c>
      <c r="D480" s="3" t="inlineStr">
        <is>
          <t>23-E2E-TEST-PLAN.md</t>
        </is>
      </c>
      <c r="E480" s="3" t="inlineStr">
        <is>
          <t>Not started</t>
        </is>
      </c>
    </row>
    <row r="481">
      <c r="A481" s="3" t="inlineStr">
        <is>
          <t>E2E scenarios (E2E)</t>
        </is>
      </c>
      <c r="B481" s="3" t="inlineStr">
        <is>
          <t>E2E-R5-02</t>
        </is>
      </c>
      <c r="C481" s="3" t="inlineStr">
        <is>
          <t>Restricted HR case invisible in global search, reports, dashboards, notifications; admin self-grant is audited and visible to case team | FX-K06, OQ-12</t>
        </is>
      </c>
      <c r="D481" s="3" t="inlineStr">
        <is>
          <t>23-E2E-TEST-PLAN.md</t>
        </is>
      </c>
      <c r="E481" s="3" t="inlineStr">
        <is>
          <t>Not started</t>
        </is>
      </c>
    </row>
    <row r="482">
      <c r="A482" s="3" t="inlineStr">
        <is>
          <t>E2E scenarios (E2E)</t>
        </is>
      </c>
      <c r="B482" s="3" t="inlineStr">
        <is>
          <t>E2E-R5-03</t>
        </is>
      </c>
      <c r="C482" s="3" t="inlineStr">
        <is>
          <t>Investigation (J10): filter `data_access` on `salary` → pin events/files → legal hold → signed export → `procera-verify` offline passes; edited bundle fails | J10, FR-T05/T06, AUD-05</t>
        </is>
      </c>
      <c r="D482" s="3" t="inlineStr">
        <is>
          <t>23-E2E-TEST-PLAN.md</t>
        </is>
      </c>
      <c r="E482" s="3" t="inlineStr">
        <is>
          <t>Not started</t>
        </is>
      </c>
    </row>
    <row r="483">
      <c r="A483" s="3" t="inlineStr">
        <is>
          <t>E2E scenarios (E2E)</t>
        </is>
      </c>
      <c r="B483" s="3" t="inlineStr">
        <is>
          <t>E2E-R5-04</t>
        </is>
      </c>
      <c r="C483" s="3" t="inlineStr">
        <is>
          <t>Legal hold blocks retention purge and file deletion; release by authorised role resumes | PRV-03</t>
        </is>
      </c>
      <c r="D483" s="3" t="inlineStr">
        <is>
          <t>23-E2E-TEST-PLAN.md</t>
        </is>
      </c>
      <c r="E483" s="3" t="inlineStr">
        <is>
          <t>Not started</t>
        </is>
      </c>
    </row>
    <row r="484">
      <c r="A484" s="3" t="inlineStr">
        <is>
          <t>E2E scenarios (E2E)</t>
        </is>
      </c>
      <c r="B484" s="3" t="inlineStr">
        <is>
          <t>E2E-R5-05</t>
        </is>
      </c>
      <c r="C484" s="3" t="inlineStr">
        <is>
          <t>Part 11 mode: approval requires re-auth; manifestation shows name/time/meaning; signature bound to record hash | ESIG-01–05</t>
        </is>
      </c>
      <c r="D484" s="3" t="inlineStr">
        <is>
          <t>23-E2E-TEST-PLAN.md</t>
        </is>
      </c>
      <c r="E484" s="3" t="inlineStr">
        <is>
          <t>Not started</t>
        </is>
      </c>
    </row>
    <row r="485">
      <c r="A485" s="3" t="inlineStr">
        <is>
          <t>E2E scenarios (E2E)</t>
        </is>
      </c>
      <c r="B485" s="3" t="inlineStr">
        <is>
          <t>E2E-R5-06</t>
        </is>
      </c>
      <c r="C485" s="3" t="inlineStr">
        <is>
          <t>Attestation campaign + access review; unconfirmed grants expire | FR-G06, FR-W11</t>
        </is>
      </c>
      <c r="D485" s="3" t="inlineStr">
        <is>
          <t>23-E2E-TEST-PLAN.md</t>
        </is>
      </c>
      <c r="E485" s="3" t="inlineStr">
        <is>
          <t>Not started</t>
        </is>
      </c>
    </row>
    <row r="486">
      <c r="A486" s="3" t="inlineStr">
        <is>
          <t>E2E scenarios (E2E)</t>
        </is>
      </c>
      <c r="B486" s="3" t="inlineStr">
        <is>
          <t>E2E-R5-07</t>
        </is>
      </c>
      <c r="C486" s="3" t="inlineStr">
        <is>
          <t>Break-glass: system admin request → workspace approval → read-only session banner → auto-expiry → visible in workspace audit | FR-S07</t>
        </is>
      </c>
      <c r="D486" s="3" t="inlineStr">
        <is>
          <t>23-E2E-TEST-PLAN.md</t>
        </is>
      </c>
      <c r="E486" s="3" t="inlineStr">
        <is>
          <t>Not started</t>
        </is>
      </c>
    </row>
    <row r="487">
      <c r="A487" s="3" t="inlineStr">
        <is>
          <t>E2E scenarios (E2E)</t>
        </is>
      </c>
      <c r="B487" s="3" t="inlineStr">
        <is>
          <t>E2E-R5-08</t>
        </is>
      </c>
      <c r="C487" s="3" t="inlineStr">
        <is>
          <t>Separation mode on → workspace admin loses content access → audited self-grant flow | 12 §6.1</t>
        </is>
      </c>
      <c r="D487" s="3" t="inlineStr">
        <is>
          <t>23-E2E-TEST-PLAN.md</t>
        </is>
      </c>
      <c r="E487" s="3" t="inlineStr">
        <is>
          <t>Not started</t>
        </is>
      </c>
    </row>
    <row r="488">
      <c r="A488" s="3" t="inlineStr">
        <is>
          <t>E2E scenarios (E2E)</t>
        </is>
      </c>
      <c r="B488" s="3" t="inlineStr">
        <is>
          <t>E2E-R5-09</t>
        </is>
      </c>
      <c r="C488" s="3" t="inlineStr">
        <is>
          <t>Scheduled report re-applies permissions at run time (user lost access → no data sent) | FX-A02</t>
        </is>
      </c>
      <c r="D488" s="3" t="inlineStr">
        <is>
          <t>23-E2E-TEST-PLAN.md</t>
        </is>
      </c>
      <c r="E488" s="3" t="inlineStr">
        <is>
          <t>Not started</t>
        </is>
      </c>
    </row>
    <row r="489">
      <c r="A489" s="3" t="inlineStr">
        <is>
          <t>E2E scenarios (E2E)</t>
        </is>
      </c>
      <c r="B489" s="3" t="inlineStr">
        <is>
          <t>E2E-R5-10</t>
        </is>
      </c>
      <c r="C489" s="3" t="inlineStr">
        <is>
          <t>AI drafting (when enabled): output is a draft, labelled, provenance in audit; cannot publish or approve | ADR-0006</t>
        </is>
      </c>
      <c r="D489" s="3" t="inlineStr">
        <is>
          <t>23-E2E-TEST-PLAN.md</t>
        </is>
      </c>
      <c r="E489" s="3" t="inlineStr">
        <is>
          <t>Not started</t>
        </is>
      </c>
    </row>
    <row r="490">
      <c r="A490" s="3" t="inlineStr">
        <is>
          <t>E2E scenarios (E2E)</t>
        </is>
      </c>
      <c r="B490" s="3" t="inlineStr">
        <is>
          <t>E2E-R5-ISO</t>
        </is>
      </c>
      <c r="C490" s="3" t="inlineStr">
        <is>
          <t>Isolation sweep incl. cases, investigations, evidence | SEC-</t>
        </is>
      </c>
      <c r="D490" s="3" t="inlineStr">
        <is>
          <t>23-E2E-TEST-PLAN.md</t>
        </is>
      </c>
      <c r="E49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row r="18">
      <c r="A18" s="3" t="inlineStr">
        <is>
          <t>22-UNKNOWNS-ASSUMPTIONS-AND-OPEN-QUESTIONS.md</t>
        </is>
      </c>
      <c r="B18" s="3" t="inlineStr">
        <is>
          <t>OQ-17</t>
        </is>
      </c>
      <c r="C18" s="3" t="inlineStr">
        <is>
          <t>Leave years: the calendar year for everyone, or a start month per policy (e.g. April for Indian financial years)? (docs/25 §12)</t>
        </is>
      </c>
      <c r="D18" s="3" t="inlineStr">
        <is>
          <t>Per policy in the model (`year_start_month`), defaulting to the workspace setting; the policy screen shows it only when it differs</t>
        </is>
      </c>
      <c r="E18" s="3" t="inlineStr">
        <is>
          <t>Product owner</t>
        </is>
      </c>
      <c r="F18" s="3" t="inlineStr">
        <is>
          <t>0.5</t>
        </is>
      </c>
      <c r="G18" s="3" t="inlineStr"/>
    </row>
    <row r="19">
      <c r="A19" s="3" t="inlineStr">
        <is>
          <t>22-UNKNOWNS-ASSUMPTIONS-AND-OPEN-QUESTIONS.md</t>
        </is>
      </c>
      <c r="B19" s="3" t="inlineStr">
        <is>
          <t>OQ-18</t>
        </is>
      </c>
      <c r="C19" s="3" t="inlineStr">
        <is>
          <t>Clock-in from outside the office: allowed by default (IP recorded), or only from allow-listed networks? (docs/25 §12)</t>
        </is>
      </c>
      <c r="D19" s="3" t="inlineStr">
        <is>
          <t>Allowed, IP shown on the day; optional `attendance.ip_allowlist` setting</t>
        </is>
      </c>
      <c r="E19" s="3" t="inlineStr">
        <is>
          <t>Product owner</t>
        </is>
      </c>
      <c r="F19" s="3" t="inlineStr">
        <is>
          <t>0.5</t>
        </is>
      </c>
      <c r="G19" s="3" t="inlineStr"/>
    </row>
    <row r="20">
      <c r="A20" s="3" t="inlineStr">
        <is>
          <t>22-UNKNOWNS-ASSUMPTIONS-AND-OPEN-QUESTIONS.md</t>
        </is>
      </c>
      <c r="B20" s="3" t="inlineStr">
        <is>
          <t>OQ-19</t>
        </is>
      </c>
      <c r="C20" s="3" t="inlineStr">
        <is>
          <t>A holiday added after leave was approved over that date: re-credit automatically or leave it to HR? (docs/25 §12)</t>
        </is>
      </c>
      <c r="D20" s="3" t="inlineStr">
        <is>
          <t>Re-credit automatically with a ledger entry and a notification to the person</t>
        </is>
      </c>
      <c r="E20" s="3" t="inlineStr">
        <is>
          <t>Product owner</t>
        </is>
      </c>
      <c r="F20" s="3" t="inlineStr">
        <is>
          <t>0.5</t>
        </is>
      </c>
      <c r="G20"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A-51 (BPMS-222..229, 0.5)</t>
        </is>
      </c>
      <c r="C45" s="3" t="inlineStr">
        <is>
          <t>HR time and attendance decisions (docs/25): (1) balances are the sum of an append-only ledger (grant, accrual, hold, release, taken, cancelled, adjustment, carry-over, expiry), never a stored number; corrections are counter-entries; (2) leave requests, cancellations and regularizations run as processes on the engine, calling typed service tasks for checks and ledger entries; (3) colleagues see "Out" without the type; sensitive types (sick, medical, parental by default) are visible to the person, their manager chain and HR, and HR's reads are access-logged; (4) days are counted against the person's work location (work week, holiday calendar) and roster; (5) daily attendance status is derived by a pure function and locked when HR closes the month; (6) admin balance adjustments need a reason and step-up; (7) hourly leave, overtime pay, shift swaps, compensatory off, geofencing and device drivers are later; (8) payroll and payslips are a separate future release (BPMS-230/231).</t>
        </is>
      </c>
      <c r="D45" s="3" t="inlineStr">
        <is>
          <t>Owner direction 2026-10-14</t>
        </is>
      </c>
      <c r="E45" s="3" t="inlineStr"/>
    </row>
    <row r="46">
      <c r="A46" s="3" t="inlineStr">
        <is>
          <t>22-UNKNOWNS-ASSUMPTIONS-AND-OPEN-QUESTIONS.md</t>
        </is>
      </c>
      <c r="B46" s="3" t="inlineStr">
        <is>
          <t>A-50 (BPMS-140, 0.4)</t>
        </is>
      </c>
      <c r="C46" s="3" t="inlineStr">
        <is>
          <t>SSO v1 decisions: (1) OpenID Connect only (authorization code + PKCE, confidential client); the SAML broker comes later; (2) one provider per workspace; (3) no just-in-time accounts yet: only existing active members can sign in through it (they are matched by email the first time, then by the provider's subject), invitations still create members; (4) trusted email domains are a list the admin types, not proven by DNS TXT records; a domain may be trusted by several workspaces, and sign-in then asks which; (5) requiring SSO refuses password and passkey sessions for everyone except workspace owners, who keep password + two-step as break-glass; API tokens keep working; (6) an SSO session counts as two-step verified for the admin MFA gate (the provider is the factor), and as `mfa` only when the provider's `amr` reports a second factor; (7) provider calls go through the webhook egress guard (`PROCERA_EGRESS_ALLOW` for internal providers); (8) sign-out at the provider (RP-initiated / back-channel logout) is later.</t>
        </is>
      </c>
      <c r="D46" s="3" t="inlineStr">
        <is>
          <t>Owner can change any</t>
        </is>
      </c>
      <c r="E46" s="3" t="inlineStr"/>
    </row>
    <row r="47">
      <c r="A47" s="3" t="inlineStr">
        <is>
          <t>22-UNKNOWNS-ASSUMPTIONS-AND-OPEN-QUESTIONS.md</t>
        </is>
      </c>
      <c r="B47" s="3" t="inlineStr">
        <is>
          <t>A-49 (BPMS-145, 0.4)</t>
        </is>
      </c>
      <c r="C47" s="3" t="inlineStr">
        <is>
          <t>Email approvals v1: (1) the link is the credential for one decision (no sign-in), so a forwarded email lets the recipient decide as the addressee; mitigations: single use, every link of the step spent on use, expiry at the step's due date or 7 days, the page and email say who decides (“don't forward it”), audit `work.decided_by_email`, and a workspace switch `notify.email_actions.enabled`; (2) only plain approvals (no fields to fill in) get links; others still open Procera; (3) no Part 11 re-authentication path exists for requests yet, so none is needed here; when it does, those steps won't get links (FR-N03); (4) reply-by-email and web push (FR-N05) come later.</t>
        </is>
      </c>
      <c r="D47" s="3" t="inlineStr">
        <is>
          <t>Owner can change (e.g. require sign-in, shorter expiry)</t>
        </is>
      </c>
      <c r="E47" s="3" t="inlineStr"/>
    </row>
    <row r="48">
      <c r="A48" s="3" t="inlineStr">
        <is>
          <t>22-UNKNOWNS-ASSUMPTIONS-AND-OPEN-QUESTIONS.md</t>
        </is>
      </c>
      <c r="B48" s="3" t="inlineStr">
        <is>
          <t>A-48 (BPMS-143, 0.4)</t>
        </is>
      </c>
      <c r="C48"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8" s="3" t="inlineStr">
        <is>
          <t>Owner can change any</t>
        </is>
      </c>
      <c r="E48" s="3" t="inlineStr"/>
    </row>
    <row r="49">
      <c r="A49" s="3" t="inlineStr">
        <is>
          <t>22-UNKNOWNS-ASSUMPTIONS-AND-OPEN-QUESTIONS.md</t>
        </is>
      </c>
      <c r="B49" s="3" t="inlineStr">
        <is>
          <t>A-47 (BPMS-107, 0.4)</t>
        </is>
      </c>
      <c r="C49"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9" s="3" t="inlineStr">
        <is>
          <t>Owner can change any; (3) and (7) are tracked under BPMS-107/147</t>
        </is>
      </c>
      <c r="E49" s="3" t="inlineStr"/>
    </row>
    <row r="50">
      <c r="A50" s="3" t="inlineStr">
        <is>
          <t>22-UNKNOWNS-ASSUMPTIONS-AND-OPEN-QUESTIONS.md</t>
        </is>
      </c>
      <c r="B50" s="3" t="inlineStr">
        <is>
          <t>A-46 (BPMS-085/088, 0.2)</t>
        </is>
      </c>
      <c r="C50"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50" s="3" t="inlineStr">
        <is>
          <t>Owner direction 2026-10-13 (0.2 scope)</t>
        </is>
      </c>
      <c r="E50" s="3" t="inlineStr">
        <is>
          <t>Low</t>
        </is>
      </c>
    </row>
    <row r="51">
      <c r="A51" s="3" t="inlineStr">
        <is>
          <t>22-UNKNOWNS-ASSUMPTIONS-AND-OPEN-QUESTIONS.md</t>
        </is>
      </c>
      <c r="B51" s="3" t="inlineStr">
        <is>
          <t>A-44 (BPMS-023/046)</t>
        </is>
      </c>
      <c r="C51"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51" s="3" t="inlineStr">
        <is>
          <t>Owner direction 2026-10-13</t>
        </is>
      </c>
      <c r="E51"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HR</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R5</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GA</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row r="10">
      <c r="A10" t="inlineStr">
        <is>
          <t>POST</t>
        </is>
      </c>
      <c r="B10">
        <f>COUNTIFS(Backlog!$E:$E,$A10,Backlog!$K:$K,"Not started")</f>
        <v/>
      </c>
      <c r="C10">
        <f>COUNTIFS(Backlog!$E:$E,$A10,Backlog!$K:$K,"In progress")</f>
        <v/>
      </c>
      <c r="D10">
        <f>COUNTIFS(Backlog!$E:$E,$A10,Backlog!$K:$K,"Blocked")</f>
        <v/>
      </c>
      <c r="E10">
        <f>COUNTIFS(Backlog!$E:$E,$A10,Backlog!$K:$K,"In review")</f>
        <v/>
      </c>
      <c r="F10">
        <f>COUNTIFS(Backlog!$E:$E,$A10,Backlog!$K:$K,"Done")</f>
        <v/>
      </c>
      <c r="G10">
        <f>COUNTIFS(Backlog!$E:$E,$A10,Backlog!$K:$K,"Deferred")</f>
        <v/>
      </c>
      <c r="H10">
        <f>COUNTIF(Backlog!$E:$E,$A10)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2026-10-14T00:28:35Z</dcterms:created>
  <dcterms:modified xsi:type="dcterms:W3CDTF">2026-10-14T00:28:35Z</dcterms:modified>
</cp:coreProperties>
</file>