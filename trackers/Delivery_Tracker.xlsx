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ilestones" sheetId="2" state="visible" r:id="rId2"/>
    <sheet name="Backlog" sheetId="3" state="visible" r:id="rId3"/>
    <sheet name="Domain Backlog" sheetId="4" state="visible" r:id="rId4"/>
    <sheet name="Risks" sheetId="5" state="visible" r:id="rId5"/>
    <sheet name="Decisions" sheetId="6" state="visible" r:id="rId6"/>
    <sheet name="Security Tests" sheetId="7" state="visible" r:id="rId7"/>
    <sheet name="Test Matrix" sheetId="8" state="visible" r:id="rId8"/>
    <sheet name="Open Questions" sheetId="9" state="visible" r:id="rId9"/>
    <sheet name="Unknowns" sheetId="10" state="visible" r:id="rId10"/>
    <sheet name="Assumptions" sheetId="11" state="visible" r:id="rId11"/>
    <sheet name="RACI" sheetId="12" state="visible" r:id="rId12"/>
    <sheet name="Burndow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ECACA"/>
        </patternFill>
      </fill>
    </dxf>
    <dxf>
      <fill>
        <patternFill patternType="solid">
          <fgColor rgb="00BBF7D0"/>
        </patternFill>
      </fill>
    </dxf>
    <dxf>
      <fill>
        <patternFill patternType="solid">
          <fgColor rgb="00FDE6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MilestonesT" displayName="MilestonesT" ref="A1:G9" headerRowCount="1">
  <autoFilter ref="A1:G9"/>
  <tableColumns count="7">
    <tableColumn id="1" name="M"/>
    <tableColumn id="2" name="Name"/>
    <tableColumn id="3" name="Start"/>
    <tableColumn id="4" name="End"/>
    <tableColumn id="5" name="Gate"/>
    <tableColumn id="6" name="Scope"/>
    <tableColumn id="7" name="Status"/>
  </tableColumns>
  <tableStyleInfo name="TableStyleLight9" showRowStripes="1"/>
</table>
</file>

<file path=xl/tables/table2.xml><?xml version="1.0" encoding="utf-8"?>
<table xmlns="http://schemas.openxmlformats.org/spreadsheetml/2006/main" id="2" name="BacklogT" displayName="BacklogT" ref="A1:O110" headerRowCount="1">
  <autoFilter ref="A1:O110"/>
  <tableColumns count="15">
    <tableColumn id="1" name="ID"/>
    <tableColumn id="2" name="Area"/>
    <tableColumn id="3" name="Work item"/>
    <tableColumn id="4" name="Pri"/>
    <tableColumn id="5" name="Release"/>
    <tableColumn id="6" name="Owner role"/>
    <tableColumn id="7" name="Refs"/>
    <tableColumn id="8" name="Acceptance"/>
    <tableColumn id="9" name="Size"/>
    <tableColumn id="10" name="Depends"/>
    <tableColumn id="11" name="Status"/>
    <tableColumn id="12" name="Assignee"/>
    <tableColumn id="13" name="Start"/>
    <tableColumn id="14" name="Due"/>
    <tableColumn id="15" name="Notes"/>
  </tableColumns>
  <tableStyleInfo name="TableStyleLight9" showRowStripes="1"/>
</table>
</file>

<file path=xl/tables/table3.xml><?xml version="1.0" encoding="utf-8"?>
<table xmlns="http://schemas.openxmlformats.org/spreadsheetml/2006/main" id="3" name="DomainBacklogT" displayName="DomainBacklogT" ref="A1:E272" headerRowCount="1">
  <autoFilter ref="A1:E272"/>
  <tableColumns count="5">
    <tableColumn id="1" name="Domain"/>
    <tableColumn id="2" name="ID"/>
    <tableColumn id="3" name="Details (as in source doc)"/>
    <tableColumn id="4" name="Source doc"/>
    <tableColumn id="5" name="Status"/>
  </tableColumns>
  <tableStyleInfo name="TableStyleLight9" showRowStripes="1"/>
</table>
</file>

<file path=xl/tables/table4.xml><?xml version="1.0" encoding="utf-8"?>
<table xmlns="http://schemas.openxmlformats.org/spreadsheetml/2006/main" id="4" name="RisksT" displayName="RisksT" ref="A1:G18" headerRowCount="1">
  <autoFilter ref="A1:G18"/>
  <tableColumns count="7">
    <tableColumn id="1" name="ID"/>
    <tableColumn id="2" name="Risk"/>
    <tableColumn id="3" name="Severity"/>
    <tableColumn id="4" name="Likelihood"/>
    <tableColumn id="5" name="Mitigation"/>
    <tableColumn id="6" name="Owner"/>
    <tableColumn id="7" name="Trend"/>
  </tableColumns>
  <tableStyleInfo name="TableStyleLight9" showRowStripes="1"/>
</table>
</file>

<file path=xl/tables/table5.xml><?xml version="1.0" encoding="utf-8"?>
<table xmlns="http://schemas.openxmlformats.org/spreadsheetml/2006/main" id="5" name="DecisionsT" displayName="DecisionsT" ref="A1:D21" headerRowCount="1">
  <autoFilter ref="A1:D21"/>
  <tableColumns count="4">
    <tableColumn id="1" name="ADR"/>
    <tableColumn id="2" name="Decision"/>
    <tableColumn id="3" name="Status"/>
    <tableColumn id="4" name="File"/>
  </tableColumns>
  <tableStyleInfo name="TableStyleLight9" showRowStripes="1"/>
</table>
</file>

<file path=xl/tables/table6.xml><?xml version="1.0" encoding="utf-8"?>
<table xmlns="http://schemas.openxmlformats.org/spreadsheetml/2006/main" id="6" name="SecurityTestsT" displayName="SecurityTestsT" ref="A1:F38" headerRowCount="1">
  <autoFilter ref="A1:F38"/>
  <tableColumns count="6">
    <tableColumn id="1" name="Source"/>
    <tableColumn id="2" name="ID"/>
    <tableColumn id="3" name="Test"/>
    <tableColumn id="4" name="Pass condition"/>
    <tableColumn id="5" name="Phase/M"/>
    <tableColumn id="6" name="Extra"/>
  </tableColumns>
  <tableStyleInfo name="TableStyleLight9" showRowStripes="1"/>
</table>
</file>

<file path=xl/tables/table7.xml><?xml version="1.0" encoding="utf-8"?>
<table xmlns="http://schemas.openxmlformats.org/spreadsheetml/2006/main" id="7" name="TestMatrixT" displayName="TestMatrixT" ref="A1:G41" headerRowCount="1">
  <autoFilter ref="A1:G41"/>
  <tableColumns count="7">
    <tableColumn id="1" name="Source"/>
    <tableColumn id="2" name="ID"/>
    <tableColumn id="3" name="Test"/>
    <tableColumn id="4" name="Category"/>
    <tableColumn id="5" name="Pass condition"/>
    <tableColumn id="6" name="Milestone"/>
    <tableColumn id="7" name="Status"/>
  </tableColumns>
  <tableStyleInfo name="TableStyleLight9" showRowStripes="1"/>
</table>
</file>

<file path=xl/tables/table8.xml><?xml version="1.0" encoding="utf-8"?>
<table xmlns="http://schemas.openxmlformats.org/spreadsheetml/2006/main" id="8" name="OpenQuestionsT" displayName="OpenQuestionsT" ref="A1:G15" headerRowCount="1">
  <autoFilter ref="A1:G15"/>
  <tableColumns count="7">
    <tableColumn id="1" name="Source"/>
    <tableColumn id="2" name="ID"/>
    <tableColumn id="3" name="Question"/>
    <tableColumn id="4" name="Recommendation"/>
    <tableColumn id="5" name="Owner"/>
    <tableColumn id="6" name="Decide by"/>
    <tableColumn id="7" name="Decision"/>
  </tableColumns>
  <tableStyleInfo name="TableStyleLight9" showRowStripes="1"/>
</table>
</file>

<file path=xl/tables/table9.xml><?xml version="1.0" encoding="utf-8"?>
<table xmlns="http://schemas.openxmlformats.org/spreadsheetml/2006/main" id="9" name="UnknownsT" displayName="UnknownsT" ref="A1:F17" headerRowCount="1">
  <autoFilter ref="A1:F17"/>
  <tableColumns count="6">
    <tableColumn id="1" name="Source"/>
    <tableColumn id="2" name="ID"/>
    <tableColumn id="3" name="Unknown"/>
    <tableColumn id="4" name="Why it matters"/>
    <tableColumn id="5" name="Resolution"/>
    <tableColumn id="6" name="Decide by"/>
  </tableColumns>
  <tableStyleInfo name="TableStyleLight9" showRowStripes="1"/>
</table>
</file>

<file path=xl/tables/table10.xml><?xml version="1.0" encoding="utf-8"?>
<table xmlns="http://schemas.openxmlformats.org/spreadsheetml/2006/main" id="10" name="AssumptionsT" displayName="AssumptionsT" ref="A1:E13" headerRowCount="1">
  <autoFilter ref="A1:E13"/>
  <tableColumns count="5">
    <tableColumn id="1" name="Source"/>
    <tableColumn id="2" name="ID"/>
    <tableColumn id="3" name="Assumption"/>
    <tableColumn id="4" name="Check"/>
    <tableColumn id="5" name="If false"/>
  </tableColumns>
  <tableStyleInfo name="TableStyleLight9" showRowStripes="1"/>
</table>
</file>

<file path=xl/tables/table11.xml><?xml version="1.0" encoding="utf-8"?>
<table xmlns="http://schemas.openxmlformats.org/spreadsheetml/2006/main" id="11" name="RACIT" displayName="RACIT" ref="A1:F11" headerRowCount="1">
  <autoFilter ref="A1:F11"/>
  <tableColumns count="6">
    <tableColumn id="1" name="Activity"/>
    <tableColumn id="2" name="Process Owner"/>
    <tableColumn id="3" name="Designer"/>
    <tableColumn id="4" name="Reviewer/Compliance"/>
    <tableColumn id="5" name="Workspace Admin"/>
    <tableColumn id="6" name="System Admin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Procera — Delivery Tracker (generated 2026-10-11 by scripts/build_tracker.py)</t>
        </is>
      </c>
    </row>
    <row r="3">
      <c r="A3" t="inlineStr">
        <is>
          <t>Sheet</t>
        </is>
      </c>
      <c r="B3" t="inlineStr">
        <is>
          <t>Contents</t>
        </is>
      </c>
    </row>
    <row r="4">
      <c r="A4" t="inlineStr">
        <is>
          <t>Milestones</t>
        </is>
      </c>
      <c r="B4" t="inlineStr">
        <is>
          <t>Phased releases P0, R1–R5, GA, POST with dates and gates</t>
        </is>
      </c>
    </row>
    <row r="5">
      <c r="A5" t="inlineStr">
        <is>
          <t>Backlog</t>
        </is>
      </c>
      <c r="B5" t="inlineStr">
        <is>
          <t>Core epics BPMS-xxx with status</t>
        </is>
      </c>
    </row>
    <row r="6">
      <c r="A6" t="inlineStr">
        <is>
          <t>Domain Backlog</t>
        </is>
      </c>
      <c r="B6" t="inlineStr">
        <is>
          <t>TPL/UX/INT/CFG/AI items parsed from docs</t>
        </is>
      </c>
    </row>
    <row r="7">
      <c r="A7" t="inlineStr">
        <is>
          <t>Risks</t>
        </is>
      </c>
      <c r="B7" t="inlineStr">
        <is>
          <t>Risk register</t>
        </is>
      </c>
    </row>
    <row r="8">
      <c r="A8" t="inlineStr">
        <is>
          <t>Decisions</t>
        </is>
      </c>
      <c r="B8" t="inlineStr">
        <is>
          <t>ADR status</t>
        </is>
      </c>
    </row>
    <row r="9">
      <c r="A9" t="inlineStr">
        <is>
          <t>Security Tests</t>
        </is>
      </c>
      <c r="B9" t="inlineStr">
        <is>
          <t>SEC-xx from 06</t>
        </is>
      </c>
    </row>
    <row r="10">
      <c r="A10" t="inlineStr">
        <is>
          <t>Test Matrix</t>
        </is>
      </c>
      <c r="B10" t="inlineStr">
        <is>
          <t>T01–T40 from 15</t>
        </is>
      </c>
    </row>
    <row r="11">
      <c r="A11" t="inlineStr">
        <is>
          <t>Open Questions</t>
        </is>
      </c>
      <c r="B11" t="inlineStr">
        <is>
          <t>OQ-xx</t>
        </is>
      </c>
    </row>
    <row r="12">
      <c r="A12" t="inlineStr">
        <is>
          <t>Unknowns</t>
        </is>
      </c>
      <c r="B12" t="inlineStr">
        <is>
          <t>U-xx</t>
        </is>
      </c>
    </row>
    <row r="13">
      <c r="A13" t="inlineStr">
        <is>
          <t>Assumptions</t>
        </is>
      </c>
      <c r="B13" t="inlineStr">
        <is>
          <t>A-xx</t>
        </is>
      </c>
    </row>
    <row r="14">
      <c r="A14" t="inlineStr">
        <is>
          <t>RACI</t>
        </is>
      </c>
      <c r="B14" t="inlineStr">
        <is>
          <t>Delivery RACI</t>
        </is>
      </c>
    </row>
    <row r="15">
      <c r="A15" t="inlineStr">
        <is>
          <t>Burndown</t>
        </is>
      </c>
      <c r="B15" t="inlineStr">
        <is>
          <t>Count of epics by milestone and status (formulas)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2" customWidth="1" min="3" max="3"/>
    <col width="12" customWidth="1" min="4" max="4"/>
    <col width="8" customWidth="1" min="5" max="5"/>
    <col width="70" customWidth="1" min="6" max="6"/>
    <col width="14" customWidth="1" min="7" max="7"/>
  </cols>
  <sheetData>
    <row r="1">
      <c r="A1" s="2" t="inlineStr">
        <is>
          <t>M</t>
        </is>
      </c>
      <c r="B1" s="2" t="inlineStr">
        <is>
          <t>Name</t>
        </is>
      </c>
      <c r="C1" s="2" t="inlineStr">
        <is>
          <t>Start</t>
        </is>
      </c>
      <c r="D1" s="2" t="inlineStr">
        <is>
          <t>End</t>
        </is>
      </c>
      <c r="E1" s="2" t="inlineStr">
        <is>
          <t>Gate</t>
        </is>
      </c>
      <c r="F1" s="2" t="inlineStr">
        <is>
          <t>Scope</t>
        </is>
      </c>
      <c r="G1" s="2" t="inlineStr">
        <is>
          <t>Status</t>
        </is>
      </c>
    </row>
    <row r="2">
      <c r="A2" s="3" t="inlineStr">
        <is>
          <t>P0</t>
        </is>
      </c>
      <c r="B2" s="3" t="inlineStr">
        <is>
          <t>Spikes + G1 + design system</t>
        </is>
      </c>
      <c r="C2" s="3" t="inlineStr">
        <is>
          <t>2026-11-02</t>
        </is>
      </c>
      <c r="D2" s="3" t="inlineStr">
        <is>
          <t>2026-11-20</t>
        </is>
      </c>
      <c r="E2" s="3" t="inlineStr">
        <is>
          <t>G1</t>
        </is>
      </c>
      <c r="F2" s="3" t="inlineStr">
        <is>
          <t>SP-01…SP-10, ADRs, tokens, CI + E2E harness smoke (old M0–M1)</t>
        </is>
      </c>
      <c r="G2" s="3" t="inlineStr">
        <is>
          <t>Not started</t>
        </is>
      </c>
    </row>
    <row r="3">
      <c r="A3" s="3" t="inlineStr">
        <is>
          <t>R1</t>
        </is>
      </c>
      <c r="B3" s="3" t="inlineStr">
        <is>
          <t>Workspace &amp; Policies</t>
        </is>
      </c>
      <c r="C3" s="3" t="inlineStr">
        <is>
          <t>2026-11-23</t>
        </is>
      </c>
      <c r="D3" s="3" t="inlineStr">
        <is>
          <t>2027-01-15</t>
        </is>
      </c>
      <c r="E3" s="3" t="inlineStr">
        <is>
          <t>G-R1</t>
        </is>
      </c>
      <c r="F3" s="3" t="inlineStr">
        <is>
          <t>System console, auth+MFA, roles, settings, DataGrid, SOP/policy library, campaigns, announcements, files, audit, dashboard (old M2–M4 part)</t>
        </is>
      </c>
      <c r="G3" s="3" t="inlineStr">
        <is>
          <t>Not started</t>
        </is>
      </c>
    </row>
    <row r="4">
      <c r="A4" s="3" t="inlineStr">
        <is>
          <t>R2</t>
        </is>
      </c>
      <c r="B4" s="3" t="inlineStr">
        <is>
          <t>Requests &amp; Approvals</t>
        </is>
      </c>
      <c r="C4" s="3" t="inlineStr">
        <is>
          <t>2027-01-18</t>
        </is>
      </c>
      <c r="D4" s="3" t="inlineStr">
        <is>
          <t>2027-03-12</t>
        </is>
      </c>
      <c r="E4" s="3" t="inlineStr">
        <is>
          <t>G-R2</t>
        </is>
      </c>
      <c r="F4" s="3" t="inlineStr">
        <is>
          <t>Runtime core, forms, designer, portal, inbox, delegation, SLA, 6 templates (old M5–M6 part)</t>
        </is>
      </c>
      <c r="G4" s="3" t="inlineStr">
        <is>
          <t>Not started</t>
        </is>
      </c>
    </row>
    <row r="5">
      <c r="A5" s="3" t="inlineStr">
        <is>
          <t>R3</t>
        </is>
      </c>
      <c r="B5" s="3" t="inlineStr">
        <is>
          <t>Operate &amp; Sign</t>
        </is>
      </c>
      <c r="C5" s="3" t="inlineStr">
        <is>
          <t>2027-03-15</t>
        </is>
      </c>
      <c r="D5" s="3" t="inlineStr">
        <is>
          <t>2027-05-07</t>
        </is>
      </c>
      <c r="E5" s="3" t="inlineStr">
        <is>
          <t>G-R3</t>
        </is>
      </c>
      <c r="F5" s="3" t="inlineStr">
        <is>
          <t>Admin console, DoA, master data, recall/edit, e-sign v1, 13 templates, PWA, BPMN import (old M4 rest, M6 rest, M7)</t>
        </is>
      </c>
      <c r="G5" s="3" t="inlineStr">
        <is>
          <t>Not started</t>
        </is>
      </c>
    </row>
    <row r="6">
      <c r="A6" s="3" t="inlineStr">
        <is>
          <t>R4</t>
        </is>
      </c>
      <c r="B6" s="3" t="inlineStr">
        <is>
          <t>Enterprise Connect</t>
        </is>
      </c>
      <c r="C6" s="3" t="inlineStr">
        <is>
          <t>2027-05-10</t>
        </is>
      </c>
      <c r="D6" s="3" t="inlineStr">
        <is>
          <t>2027-07-02</t>
        </is>
      </c>
      <c r="E6" s="3" t="inlineStr">
        <is>
          <t>G-R4</t>
        </is>
      </c>
      <c r="F6" s="3" t="inlineStr">
        <is>
          <t>SSO/SCIM, scoped admins, webhooks/API/CLI, email approvals, guests, e-sign v2 (old M8)</t>
        </is>
      </c>
      <c r="G6" s="3" t="inlineStr">
        <is>
          <t>Not started</t>
        </is>
      </c>
    </row>
    <row r="7">
      <c r="A7" s="3" t="inlineStr">
        <is>
          <t>R5</t>
        </is>
      </c>
      <c r="B7" s="3" t="inlineStr">
        <is>
          <t>Cases &amp; Compliance</t>
        </is>
      </c>
      <c r="C7" s="3" t="inlineStr">
        <is>
          <t>2027-07-05</t>
        </is>
      </c>
      <c r="D7" s="3" t="inlineStr">
        <is>
          <t>2027-08-27</t>
        </is>
      </c>
      <c r="E7" s="3" t="inlineStr">
        <is>
          <t>G-R5</t>
        </is>
      </c>
      <c r="F7" s="3" t="inlineStr">
        <is>
          <t>Cases, investigations, legal hold, Part 11, reports, AI optional (old M9)</t>
        </is>
      </c>
      <c r="G7" s="3" t="inlineStr">
        <is>
          <t>Not started</t>
        </is>
      </c>
    </row>
    <row r="8">
      <c r="A8" s="3" t="inlineStr">
        <is>
          <t>GA</t>
        </is>
      </c>
      <c r="B8" s="3" t="inlineStr">
        <is>
          <t>1.0 hardening + release</t>
        </is>
      </c>
      <c r="C8" s="3" t="inlineStr">
        <is>
          <t>2027-08-30</t>
        </is>
      </c>
      <c r="D8" s="3" t="inlineStr">
        <is>
          <t>2027-10-15</t>
        </is>
      </c>
      <c r="E8" s="3" t="inlineStr">
        <is>
          <t>G4/G5</t>
        </is>
      </c>
      <c r="F8" s="3" t="inlineStr">
        <is>
          <t>Load/HA/DR, pentest, a11y/VPAT, i18n, docs, full E2E regression (old M10–M11)</t>
        </is>
      </c>
      <c r="G8" s="3" t="inlineStr">
        <is>
          <t>Not started</t>
        </is>
      </c>
    </row>
    <row r="9">
      <c r="A9" s="3" t="inlineStr">
        <is>
          <t>POST</t>
        </is>
      </c>
      <c r="B9" s="3" t="inlineStr">
        <is>
          <t>Post-GA expansion</t>
        </is>
      </c>
      <c r="C9" s="3" t="inlineStr">
        <is>
          <t>2027-10-18</t>
        </is>
      </c>
      <c r="D9" s="3" t="inlineStr">
        <is>
          <t>2028-03-31</t>
        </is>
      </c>
      <c r="E9" s="3" t="inlineStr">
        <is>
          <t>Demand</t>
        </is>
      </c>
      <c r="F9" s="3" t="inlineStr">
        <is>
          <t>Chat platforms, HRIS/ERP, QES/Aadhaar, BPMN/DMN, mining, AI agents (old M12+)</t>
        </is>
      </c>
      <c r="G9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60" customWidth="1" min="3" max="3"/>
    <col width="5" customWidth="1" min="4" max="4"/>
    <col width="8" customWidth="1" min="5" max="5"/>
    <col width="14" customWidth="1" min="6" max="6"/>
    <col width="26" customWidth="1" min="7" max="7"/>
    <col width="34" customWidth="1" min="8" max="8"/>
    <col width="6" customWidth="1" min="9" max="9"/>
    <col width="16" customWidth="1" min="10" max="10"/>
    <col width="13" customWidth="1" min="11" max="11"/>
    <col width="14" customWidth="1" min="12" max="12"/>
    <col width="11" customWidth="1" min="13" max="13"/>
    <col width="11" customWidth="1" min="14" max="14"/>
    <col width="30" customWidth="1" min="15" max="15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Work item</t>
        </is>
      </c>
      <c r="D1" s="2" t="inlineStr">
        <is>
          <t>Pri</t>
        </is>
      </c>
      <c r="E1" s="2" t="inlineStr">
        <is>
          <t>Release</t>
        </is>
      </c>
      <c r="F1" s="2" t="inlineStr">
        <is>
          <t>Owner role</t>
        </is>
      </c>
      <c r="G1" s="2" t="inlineStr">
        <is>
          <t>Refs</t>
        </is>
      </c>
      <c r="H1" s="2" t="inlineStr">
        <is>
          <t>Acceptance</t>
        </is>
      </c>
      <c r="I1" s="2" t="inlineStr">
        <is>
          <t>Size</t>
        </is>
      </c>
      <c r="J1" s="2" t="inlineStr">
        <is>
          <t>Depends</t>
        </is>
      </c>
      <c r="K1" s="2" t="inlineStr">
        <is>
          <t>Status</t>
        </is>
      </c>
      <c r="L1" s="2" t="inlineStr">
        <is>
          <t>Assignee</t>
        </is>
      </c>
      <c r="M1" s="2" t="inlineStr">
        <is>
          <t>Start</t>
        </is>
      </c>
      <c r="N1" s="2" t="inlineStr">
        <is>
          <t>Due</t>
        </is>
      </c>
      <c r="O1" s="2" t="inlineStr">
        <is>
          <t>Notes</t>
        </is>
      </c>
    </row>
    <row r="2">
      <c r="A2" s="3" t="inlineStr">
        <is>
          <t>BPMS-001</t>
        </is>
      </c>
      <c r="B2" s="3" t="inlineStr">
        <is>
          <t>DISC</t>
        </is>
      </c>
      <c r="C2" s="3" t="inlineStr">
        <is>
          <t>User interviews (12+, startup/SME/MNC × HR/IT/Fin/Compliance/Admin) + synthesis</t>
        </is>
      </c>
      <c r="D2" s="3" t="inlineStr">
        <is>
          <t>P0</t>
        </is>
      </c>
      <c r="E2" s="3" t="inlineStr">
        <is>
          <t>P0</t>
        </is>
      </c>
      <c r="F2" s="3" t="inlineStr">
        <is>
          <t>Product/UXR</t>
        </is>
      </c>
      <c r="G2" s="3" t="inlineStr">
        <is>
          <t>OQ-05, A-*</t>
        </is>
      </c>
      <c r="H2" s="3" t="inlineStr">
        <is>
          <t>Synthesis published; personas validated</t>
        </is>
      </c>
      <c r="I2" s="3" t="inlineStr">
        <is>
          <t>M</t>
        </is>
      </c>
      <c r="J2" s="3" t="inlineStr"/>
      <c r="K2" s="3" t="inlineStr">
        <is>
          <t>Not started</t>
        </is>
      </c>
      <c r="L2" s="3" t="inlineStr"/>
      <c r="M2" s="3" t="inlineStr"/>
      <c r="N2" s="3" t="inlineStr"/>
      <c r="O2" s="3" t="inlineStr"/>
    </row>
    <row r="3">
      <c r="A3" s="3" t="inlineStr">
        <is>
          <t>BPMS-002</t>
        </is>
      </c>
      <c r="B3" s="3" t="inlineStr">
        <is>
          <t>DISC</t>
        </is>
      </c>
      <c r="C3" s="3" t="inlineStr">
        <is>
          <t>Model 5 reference processes in IR on paper</t>
        </is>
      </c>
      <c r="D3" s="3" t="inlineStr">
        <is>
          <t>P0</t>
        </is>
      </c>
      <c r="E3" s="3" t="inlineStr">
        <is>
          <t>P0</t>
        </is>
      </c>
      <c r="F3" s="3" t="inlineStr">
        <is>
          <t>Runtime lead</t>
        </is>
      </c>
      <c r="G3" s="3" t="inlineStr">
        <is>
          <t>A-02</t>
        </is>
      </c>
      <c r="H3" s="3" t="inlineStr">
        <is>
          <t>All 5 expressible or IR gaps logged</t>
        </is>
      </c>
      <c r="I3" s="3" t="inlineStr">
        <is>
          <t>S</t>
        </is>
      </c>
      <c r="J3" s="3" t="inlineStr"/>
      <c r="K3" s="3" t="inlineStr">
        <is>
          <t>Done</t>
        </is>
      </c>
      <c r="L3" s="3" t="inlineStr"/>
      <c r="M3" s="3" t="inlineStr"/>
      <c r="N3" s="3" t="inlineStr"/>
      <c r="O3" s="3" t="inlineStr">
        <is>
          <t>5 reference processes as IR v1 fixtures (all 16 node kinds) + JSON Schema + structural checker IR-E001..E016 with negative tests; 12 IR spec clarifications (docs/spikes/BPMS-002)</t>
        </is>
      </c>
    </row>
    <row r="4">
      <c r="A4" s="3" t="inlineStr">
        <is>
          <t>BPMS-003</t>
        </is>
      </c>
      <c r="B4" s="3" t="inlineStr">
        <is>
          <t>SPIKE</t>
        </is>
      </c>
      <c r="C4" s="3" t="inlineStr">
        <is>
          <t>SP-01…SP-06 runtime spikes (native vs Temporal vs Operaton)</t>
        </is>
      </c>
      <c r="D4" s="3" t="inlineStr">
        <is>
          <t>P0</t>
        </is>
      </c>
      <c r="E4" s="3" t="inlineStr">
        <is>
          <t>P0</t>
        </is>
      </c>
      <c r="F4" s="3" t="inlineStr">
        <is>
          <t>Runtime</t>
        </is>
      </c>
      <c r="G4" s="3" t="inlineStr">
        <is>
          <t>U-01, ADR-0015</t>
        </is>
      </c>
      <c r="H4" s="3" t="inlineStr">
        <is>
          <t>Reports in docs/spikes/</t>
        </is>
      </c>
      <c r="I4" s="3" t="inlineStr">
        <is>
          <t>L</t>
        </is>
      </c>
      <c r="J4" s="3" t="inlineStr"/>
      <c r="K4" s="3" t="inlineStr">
        <is>
          <t>Done</t>
        </is>
      </c>
      <c r="L4" s="3" t="inlineStr"/>
      <c r="M4" s="3" t="inlineStr"/>
      <c r="N4" s="3" t="inlineStr"/>
      <c r="O4" s="3" t="inlineStr">
        <is>
          <t>SP-01..06 native runtime: 10k instances under 1329 crashes 0 lost; race exactly-once; join once; 410 retries 0 dup effects; 30-day pinning; BPMN 54-node lossless round trip — docs/spikes/SP-01-06; ADR-0015 recommended</t>
        </is>
      </c>
    </row>
    <row r="5">
      <c r="A5" s="3" t="inlineStr">
        <is>
          <t>BPMS-004</t>
        </is>
      </c>
      <c r="B5" s="3" t="inlineStr">
        <is>
          <t>SPIKE</t>
        </is>
      </c>
      <c r="C5" s="3" t="inlineStr">
        <is>
          <t>SP-07 licence/SBOM review of candidate deps</t>
        </is>
      </c>
      <c r="D5" s="3" t="inlineStr">
        <is>
          <t>P0</t>
        </is>
      </c>
      <c r="E5" s="3" t="inlineStr">
        <is>
          <t>P0</t>
        </is>
      </c>
      <c r="F5" s="3" t="inlineStr">
        <is>
          <t>Tech lead</t>
        </is>
      </c>
      <c r="G5" s="3" t="inlineStr">
        <is>
          <t>ADR-0014</t>
        </is>
      </c>
      <c r="H5" s="3" t="inlineStr">
        <is>
          <t>No blocked licence</t>
        </is>
      </c>
      <c r="I5" s="3" t="inlineStr">
        <is>
          <t>S</t>
        </is>
      </c>
      <c r="J5" s="3" t="inlineStr"/>
      <c r="K5" s="3" t="inlineStr">
        <is>
          <t>Done</t>
        </is>
      </c>
      <c r="L5" s="3" t="inlineStr"/>
      <c r="M5" s="3" t="inlineStr"/>
      <c r="N5" s="3" t="inlineStr"/>
      <c r="O5" s="3" t="inlineStr">
        <is>
          <t>SP-07: Rust + JS dependency licences reviewed; approved set; JS licence gate (scripts/js-licence-gate.mjs) + CDLA-Permissive-2.0 for CA roots; fonts OFL — docs/spikes/SP-07</t>
        </is>
      </c>
    </row>
    <row r="6">
      <c r="A6" s="3" t="inlineStr">
        <is>
          <t>BPMS-005</t>
        </is>
      </c>
      <c r="B6" s="3" t="inlineStr">
        <is>
          <t>SPIKE</t>
        </is>
      </c>
      <c r="C6" s="3" t="inlineStr">
        <is>
          <t>SP-08 expression language (dsntk FEEL vs CEL, incl. WASM)</t>
        </is>
      </c>
      <c r="D6" s="3" t="inlineStr">
        <is>
          <t>P0</t>
        </is>
      </c>
      <c r="E6" s="3" t="inlineStr">
        <is>
          <t>P0</t>
        </is>
      </c>
      <c r="F6" s="3" t="inlineStr">
        <is>
          <t>Runtime</t>
        </is>
      </c>
      <c r="G6" s="3" t="inlineStr">
        <is>
          <t>U-02, ADR-0010</t>
        </is>
      </c>
      <c r="H6" s="3" t="inlineStr">
        <is>
          <t>Engine passes IR expression suite</t>
        </is>
      </c>
      <c r="I6" s="3" t="inlineStr">
        <is>
          <t>M</t>
        </is>
      </c>
      <c r="J6" s="3" t="inlineStr"/>
      <c r="K6" s="3" t="inlineStr">
        <is>
          <t>Done</t>
        </is>
      </c>
      <c r="L6" s="3" t="inlineStr"/>
      <c r="M6" s="3" t="inlineStr"/>
      <c r="N6" s="3" t="inlineStr"/>
      <c r="O6" s="3" t="inlineStr">
        <is>
          <t>SP-08: recommend CEL + decimal/stdlib/type-checker/budgets; FEEL rejected at runtime (quadratic loops, no WASM) — docs/spikes/SP-08; ADR-0010 recommended</t>
        </is>
      </c>
    </row>
    <row r="7">
      <c r="A7" s="3" t="inlineStr">
        <is>
          <t>BPMS-006</t>
        </is>
      </c>
      <c r="B7" s="3" t="inlineStr">
        <is>
          <t>SPIKE</t>
        </is>
      </c>
      <c r="C7" s="3" t="inlineStr">
        <is>
          <t>SP-09 Cedar + RLS + sqlx pool + partial eval</t>
        </is>
      </c>
      <c r="D7" s="3" t="inlineStr">
        <is>
          <t>P0</t>
        </is>
      </c>
      <c r="E7" s="3" t="inlineStr">
        <is>
          <t>P0</t>
        </is>
      </c>
      <c r="F7" s="3" t="inlineStr">
        <is>
          <t>Platform</t>
        </is>
      </c>
      <c r="G7" s="3" t="inlineStr">
        <is>
          <t>U-03, ADR-0011</t>
        </is>
      </c>
      <c r="H7" s="3" t="inlineStr">
        <is>
          <t>0 leaks; list P95 in budget</t>
        </is>
      </c>
      <c r="I7" s="3" t="inlineStr">
        <is>
          <t>M</t>
        </is>
      </c>
      <c r="J7" s="3" t="inlineStr"/>
      <c r="K7" s="3" t="inlineStr">
        <is>
          <t>Done</t>
        </is>
      </c>
      <c r="L7" s="3" t="inlineStr"/>
      <c r="M7" s="3" t="inlineStr"/>
      <c r="N7" s="3" t="inlineStr"/>
      <c r="O7" s="3" t="inlineStr">
        <is>
          <t>SP-09: Cedar 6/6 correct, 5.6µs P50; RLS via pool 0 leaks/5000; LLD fix NULLIF in RLS policy; partial-eval→SQL viable with fallback — docs/spikes/SP-09</t>
        </is>
      </c>
    </row>
    <row r="8">
      <c r="A8" s="3" t="inlineStr">
        <is>
          <t>BPMS-007</t>
        </is>
      </c>
      <c r="B8" s="3" t="inlineStr">
        <is>
          <t>SPIKE</t>
        </is>
      </c>
      <c r="C8" s="3" t="inlineStr">
        <is>
          <t>SP-10 audit chain 10M events: append + explorer</t>
        </is>
      </c>
      <c r="D8" s="3" t="inlineStr">
        <is>
          <t>P0</t>
        </is>
      </c>
      <c r="E8" s="3" t="inlineStr">
        <is>
          <t>P0</t>
        </is>
      </c>
      <c r="F8" s="3" t="inlineStr">
        <is>
          <t>Platform</t>
        </is>
      </c>
      <c r="G8" s="3" t="inlineStr">
        <is>
          <t>U-04</t>
        </is>
      </c>
      <c r="H8" s="3" t="inlineStr">
        <is>
          <t>≥2k ev/s; P95&lt;2s</t>
        </is>
      </c>
      <c r="I8" s="3" t="inlineStr">
        <is>
          <t>M</t>
        </is>
      </c>
      <c r="J8" s="3" t="inlineStr"/>
      <c r="K8" s="3" t="inlineStr">
        <is>
          <t>Done</t>
        </is>
      </c>
      <c r="L8" s="3" t="inlineStr"/>
      <c r="M8" s="3" t="inlineStr"/>
      <c r="N8" s="3" t="inlineStr"/>
      <c r="O8" s="3" t="inlineStr">
        <is>
          <t>SP-10: head-lock 9.7k ev/s (P99 11ms), batched sealer 65k ev/s, explorer P95 &lt;0.6ms at 10M, verifier 536k ev/s + tamper detected — docs/spikes/SP-10</t>
        </is>
      </c>
    </row>
    <row r="9">
      <c r="A9" s="3" t="inlineStr">
        <is>
          <t>BPMS-008</t>
        </is>
      </c>
      <c r="B9" s="3" t="inlineStr">
        <is>
          <t>UX</t>
        </is>
      </c>
      <c r="C9" s="3" t="inlineStr">
        <is>
          <t>Clickable prototype of Wave-1 flows + 5-user test</t>
        </is>
      </c>
      <c r="D9" s="3" t="inlineStr">
        <is>
          <t>P0</t>
        </is>
      </c>
      <c r="E9" s="3" t="inlineStr">
        <is>
          <t>P0</t>
        </is>
      </c>
      <c r="F9" s="3" t="inlineStr">
        <is>
          <t>Design</t>
        </is>
      </c>
      <c r="G9" s="3" t="inlineStr">
        <is>
          <t>05</t>
        </is>
      </c>
      <c r="H9" s="3" t="inlineStr">
        <is>
          <t>Findings logged</t>
        </is>
      </c>
      <c r="I9" s="3" t="inlineStr">
        <is>
          <t>M</t>
        </is>
      </c>
      <c r="J9" s="3" t="inlineStr"/>
      <c r="K9" s="3" t="inlineStr">
        <is>
          <t>Not started</t>
        </is>
      </c>
      <c r="L9" s="3" t="inlineStr"/>
      <c r="M9" s="3" t="inlineStr"/>
      <c r="N9" s="3" t="inlineStr"/>
      <c r="O9" s="3" t="inlineStr"/>
    </row>
    <row r="10">
      <c r="A10" s="3" t="inlineStr">
        <is>
          <t>BPMS-009</t>
        </is>
      </c>
      <c r="B10" s="3" t="inlineStr">
        <is>
          <t>ARCH</t>
        </is>
      </c>
      <c r="C10" s="3" t="inlineStr">
        <is>
          <t>G1: accept ADR-0010/0011/0015; freeze IR v1</t>
        </is>
      </c>
      <c r="D10" s="3" t="inlineStr">
        <is>
          <t>P0</t>
        </is>
      </c>
      <c r="E10" s="3" t="inlineStr">
        <is>
          <t>P0</t>
        </is>
      </c>
      <c r="F10" s="3" t="inlineStr">
        <is>
          <t>Architect</t>
        </is>
      </c>
      <c r="G10" s="3" t="inlineStr">
        <is>
          <t>G1</t>
        </is>
      </c>
      <c r="H10" s="3" t="inlineStr">
        <is>
          <t>Signed off</t>
        </is>
      </c>
      <c r="I10" s="3" t="inlineStr">
        <is>
          <t>S</t>
        </is>
      </c>
      <c r="J10" s="3" t="inlineStr">
        <is>
          <t>BPMS-003..007</t>
        </is>
      </c>
      <c r="K10" s="3" t="inlineStr">
        <is>
          <t>Not started</t>
        </is>
      </c>
      <c r="L10" s="3" t="inlineStr"/>
      <c r="M10" s="3" t="inlineStr"/>
      <c r="N10" s="3" t="inlineStr"/>
      <c r="O10" s="3" t="inlineStr"/>
    </row>
    <row r="11">
      <c r="A11" s="3" t="inlineStr">
        <is>
          <t>BPMS-010</t>
        </is>
      </c>
      <c r="B11" s="3" t="inlineStr">
        <is>
          <t>UX</t>
        </is>
      </c>
      <c r="C11" s="3" t="inlineStr">
        <is>
          <t>Design tokens + core components + visual direction</t>
        </is>
      </c>
      <c r="D11" s="3" t="inlineStr">
        <is>
          <t>P0</t>
        </is>
      </c>
      <c r="E11" s="3" t="inlineStr">
        <is>
          <t>P0</t>
        </is>
      </c>
      <c r="F11" s="3" t="inlineStr">
        <is>
          <t>Design/FE</t>
        </is>
      </c>
      <c r="G11" s="3" t="inlineStr">
        <is>
          <t>05 §7, UX-001</t>
        </is>
      </c>
      <c r="H11" s="3" t="inlineStr">
        <is>
          <t>axe clean; approved</t>
        </is>
      </c>
      <c r="I11" s="3" t="inlineStr">
        <is>
          <t>L</t>
        </is>
      </c>
      <c r="J11" s="3" t="inlineStr"/>
      <c r="K11" s="3" t="inlineStr">
        <is>
          <t>Done</t>
        </is>
      </c>
      <c r="L11" s="3" t="inlineStr"/>
      <c r="M11" s="3" t="inlineStr"/>
      <c r="N11" s="3" t="inlineStr"/>
      <c r="O11" s="3" t="inlineStr">
        <is>
          <t>Tokens (41 contrast checks + forbidden-pair guard), Button/TextField/Checkbox/Notice/Select/ConfirmDialog/Tabs/DataGrid shell on React Aria + TanStack, app shell, gallery; axe light/dark, keyboard, focus trap, aria-sort, reflow, targets (E2E-P0-05..13)</t>
        </is>
      </c>
    </row>
    <row r="12">
      <c r="A12" s="3" t="inlineStr">
        <is>
          <t>BPMS-011</t>
        </is>
      </c>
      <c r="B12" s="3" t="inlineStr">
        <is>
          <t>ENG</t>
        </is>
      </c>
      <c r="C12" s="3" t="inlineStr">
        <is>
          <t>Monorepo, CI gates (fmt, clippy, deny, tests, a11y, SBOM)</t>
        </is>
      </c>
      <c r="D12" s="3" t="inlineStr">
        <is>
          <t>P0</t>
        </is>
      </c>
      <c r="E12" s="3" t="inlineStr">
        <is>
          <t>P0</t>
        </is>
      </c>
      <c r="F12" s="3" t="inlineStr">
        <is>
          <t>DevOps</t>
        </is>
      </c>
      <c r="G12" s="3" t="inlineStr">
        <is>
          <t>03 §11</t>
        </is>
      </c>
      <c r="H12" s="3" t="inlineStr">
        <is>
          <t>All gates blocking</t>
        </is>
      </c>
      <c r="I12" s="3" t="inlineStr">
        <is>
          <t>M</t>
        </is>
      </c>
      <c r="J12" s="3" t="inlineStr"/>
      <c r="K12" s="3" t="inlineStr">
        <is>
          <t>Done</t>
        </is>
      </c>
      <c r="L12" s="3" t="inlineStr"/>
      <c r="M12" s="3" t="inlineStr"/>
      <c r="N12" s="3" t="inlineStr"/>
      <c r="O12" s="3" t="inlineStr">
        <is>
          <t>Rust workspace, kernel, procera binary, CI (fmt/clippy/test/deny/SBOM/E2E smoke) + web check/build, JS licence gate and axe a11y job (added with BPMS-010)</t>
        </is>
      </c>
    </row>
    <row r="13">
      <c r="A13" s="3" t="inlineStr">
        <is>
          <t>BPMS-012</t>
        </is>
      </c>
      <c r="B13" s="3" t="inlineStr">
        <is>
          <t>SEC</t>
        </is>
      </c>
      <c r="C13" s="3" t="inlineStr">
        <is>
          <t>Threat model review</t>
        </is>
      </c>
      <c r="D13" s="3" t="inlineStr">
        <is>
          <t>P0</t>
        </is>
      </c>
      <c r="E13" s="3" t="inlineStr">
        <is>
          <t>P0</t>
        </is>
      </c>
      <c r="F13" s="3" t="inlineStr">
        <is>
          <t>Security</t>
        </is>
      </c>
      <c r="G13" s="3" t="inlineStr">
        <is>
          <t>06 §2</t>
        </is>
      </c>
      <c r="H13" s="3" t="inlineStr">
        <is>
          <t>Reviewed; tests mapped</t>
        </is>
      </c>
      <c r="I13" s="3" t="inlineStr">
        <is>
          <t>S</t>
        </is>
      </c>
      <c r="J13" s="3" t="inlineStr"/>
      <c r="K13" s="3" t="inlineStr">
        <is>
          <t>Not started</t>
        </is>
      </c>
      <c r="L13" s="3" t="inlineStr"/>
      <c r="M13" s="3" t="inlineStr"/>
      <c r="N13" s="3" t="inlineStr"/>
      <c r="O13" s="3" t="inlineStr"/>
    </row>
    <row r="14">
      <c r="A14" s="3" t="inlineStr">
        <is>
          <t>BPMS-013</t>
        </is>
      </c>
      <c r="B14" s="3" t="inlineStr">
        <is>
          <t>E2E</t>
        </is>
      </c>
      <c r="C14" s="3" t="inlineStr">
        <is>
          <t>E2E harness: Playwright + compose.e2e (PG, SeaweedFS, Valkey, Mailpit, ClamAV), seed A/B, personas, __test clock/drain/fault (feature-gated)</t>
        </is>
      </c>
      <c r="D14" s="3" t="inlineStr">
        <is>
          <t>P0</t>
        </is>
      </c>
      <c r="E14" s="3" t="inlineStr">
        <is>
          <t>P0</t>
        </is>
      </c>
      <c r="F14" s="3" t="inlineStr">
        <is>
          <t>SDET</t>
        </is>
      </c>
      <c r="G14" s="3" t="inlineStr">
        <is>
          <t>23 §2–4</t>
        </is>
      </c>
      <c r="H14" s="3" t="inlineStr">
        <is>
          <t>Smoke runs in CI; endpoints absent in release build</t>
        </is>
      </c>
      <c r="I14" s="3" t="inlineStr">
        <is>
          <t>M</t>
        </is>
      </c>
      <c r="J14" s="3" t="inlineStr">
        <is>
          <t>BPMS-011</t>
        </is>
      </c>
      <c r="K14" s="3" t="inlineStr">
        <is>
          <t>Done</t>
        </is>
      </c>
      <c r="L14" s="3" t="inlineStr"/>
      <c r="M14" s="3" t="inlineStr"/>
      <c r="N14" s="3" t="inlineStr"/>
      <c r="O14" s="3" t="inlineStr">
        <is>
          <t>e2e feature + /__test controls, Playwright harness, P0 smoke pack (E2E-P0-01..04, REL), compose.e2e stack, CI e2e-smoke job; on main, CI green. Seed A/B + personas land with the first workspace APIs (BPMS-032); full compose boot pending a Docker run</t>
        </is>
      </c>
    </row>
    <row r="15">
      <c r="A15" s="3" t="inlineStr">
        <is>
          <t>BPMS-014</t>
        </is>
      </c>
      <c r="B15" s="3" t="inlineStr">
        <is>
          <t>ENG</t>
        </is>
      </c>
      <c r="C15" s="3" t="inlineStr">
        <is>
          <t>AGENTS.md/CLAUDE.md contract, PR template (spec id + E2E id), CODEOWNERS for protected areas</t>
        </is>
      </c>
      <c r="D15" s="3" t="inlineStr">
        <is>
          <t>P0</t>
        </is>
      </c>
      <c r="E15" s="3" t="inlineStr">
        <is>
          <t>P0</t>
        </is>
      </c>
      <c r="F15" s="3" t="inlineStr">
        <is>
          <t>Tech lead</t>
        </is>
      </c>
      <c r="G15" s="3" t="inlineStr">
        <is>
          <t>07 §3</t>
        </is>
      </c>
      <c r="H15" s="3" t="inlineStr">
        <is>
          <t>In repo</t>
        </is>
      </c>
      <c r="I15" s="3" t="inlineStr">
        <is>
          <t>S</t>
        </is>
      </c>
      <c r="J15" s="3" t="inlineStr"/>
      <c r="K15" s="3" t="inlineStr">
        <is>
          <t>Done</t>
        </is>
      </c>
      <c r="L15" s="3" t="inlineStr"/>
      <c r="M15" s="3" t="inlineStr"/>
      <c r="N15" s="3" t="inlineStr"/>
      <c r="O15" s="3" t="inlineStr">
        <is>
          <t>CLAUDE.md, AGENTS.md, PR template, CODEOWNERS, docs/24 rules on main</t>
        </is>
      </c>
    </row>
    <row r="16">
      <c r="A16" s="3" t="inlineStr">
        <is>
          <t>BPMS-020</t>
        </is>
      </c>
      <c r="B16" s="3" t="inlineStr">
        <is>
          <t>PLAT</t>
        </is>
      </c>
      <c r="C16" s="3" t="inlineStr">
        <is>
          <t>System plane: bootstrap, system roles, workspaces lifecycle, quotas</t>
        </is>
      </c>
      <c r="D16" s="3" t="inlineStr">
        <is>
          <t>P0</t>
        </is>
      </c>
      <c r="E16" s="3" t="inlineStr">
        <is>
          <t>R1</t>
        </is>
      </c>
      <c r="F16" s="3" t="inlineStr">
        <is>
          <t>Platform</t>
        </is>
      </c>
      <c r="G16" s="3" t="inlineStr">
        <is>
          <t>FR-S01–S04</t>
        </is>
      </c>
      <c r="H16" s="3" t="inlineStr">
        <is>
          <t>J8 passes</t>
        </is>
      </c>
      <c r="I16" s="3" t="inlineStr">
        <is>
          <t>L</t>
        </is>
      </c>
      <c r="J16" s="3" t="inlineStr">
        <is>
          <t>BPMS-011</t>
        </is>
      </c>
      <c r="K16" s="3" t="inlineStr">
        <is>
          <t>Done</t>
        </is>
      </c>
      <c r="L16" s="3" t="inlineStr"/>
      <c r="M16" s="3" t="inlineStr"/>
      <c r="N16" s="3" t="inlineStr"/>
      <c r="O16" s="3" t="inlineStr">
        <is>
          <t>procera-platform + /sysapi/v1: one-time bootstrap token (printed at startup until bootstrapped), system.owner/admin/operator/auditor fixed authz table, MFA required for system plane, workspace create/list/get/rename/suspend/restore/schedule-deletion with If-Match + ETag, profile quotas, platform setting floors seeded, all audited; E2E-R1-SYS-01..05</t>
        </is>
      </c>
    </row>
    <row r="17">
      <c r="A17" s="3" t="inlineStr">
        <is>
          <t>BPMS-021</t>
        </is>
      </c>
      <c r="B17" s="3" t="inlineStr">
        <is>
          <t>IAM</t>
        </is>
      </c>
      <c r="C17" s="3" t="inlineStr">
        <is>
          <t>Local auth (Argon2id), email verify, lockout, sessions</t>
        </is>
      </c>
      <c r="D17" s="3" t="inlineStr">
        <is>
          <t>P0</t>
        </is>
      </c>
      <c r="E17" s="3" t="inlineStr">
        <is>
          <t>R1</t>
        </is>
      </c>
      <c r="F17" s="3" t="inlineStr">
        <is>
          <t>Platform</t>
        </is>
      </c>
      <c r="G17" s="3" t="inlineStr">
        <is>
          <t>12 §3, FX-I01</t>
        </is>
      </c>
      <c r="H17" s="3" t="inlineStr">
        <is>
          <t>SEC tests green</t>
        </is>
      </c>
      <c r="I17" s="3" t="inlineStr">
        <is>
          <t>M</t>
        </is>
      </c>
      <c r="J17" s="3" t="inlineStr">
        <is>
          <t>BPMS-020</t>
        </is>
      </c>
      <c r="K17" s="3" t="inlineStr">
        <is>
          <t>Done</t>
        </is>
      </c>
      <c r="L17" s="3" t="inlineStr"/>
      <c r="M17" s="3" t="inlineStr"/>
      <c r="N17" s="3" t="inlineStr"/>
      <c r="O17" s="3" t="inlineStr">
        <is>
          <t>procera-identity + /api/v1/auth: users, Argon2id (policy, rehash, enumeration-safe), JWT access (ADR-0020) + rotating refresh with reuse detection, DB login throttling + per-IP rate limit, logout, sign-out-everywhere, deactivation via token_version; audited; E2E-R1-AUTH-01..05,07</t>
        </is>
      </c>
    </row>
    <row r="18">
      <c r="A18" s="3" t="inlineStr">
        <is>
          <t>BPMS-022</t>
        </is>
      </c>
      <c r="B18" s="3" t="inlineStr">
        <is>
          <t>IAM</t>
        </is>
      </c>
      <c r="C18" s="3" t="inlineStr">
        <is>
          <t>MFA TOTP + WebAuthn, recovery codes, step-up</t>
        </is>
      </c>
      <c r="D18" s="3" t="inlineStr">
        <is>
          <t>P0</t>
        </is>
      </c>
      <c r="E18" s="3" t="inlineStr">
        <is>
          <t>R1</t>
        </is>
      </c>
      <c r="F18" s="3" t="inlineStr">
        <is>
          <t>Platform</t>
        </is>
      </c>
      <c r="G18" s="3" t="inlineStr">
        <is>
          <t>12 §3/§11</t>
        </is>
      </c>
      <c r="H18" s="3" t="inlineStr">
        <is>
          <t>MFA required by role works</t>
        </is>
      </c>
      <c r="I18" s="3" t="inlineStr">
        <is>
          <t>M</t>
        </is>
      </c>
      <c r="J18" s="3" t="inlineStr">
        <is>
          <t>BPMS-021</t>
        </is>
      </c>
      <c r="K18" s="3" t="inlineStr">
        <is>
          <t>In progress</t>
        </is>
      </c>
      <c r="L18" s="3" t="inlineStr"/>
      <c r="M18" s="3" t="inlineStr"/>
      <c r="N18" s="3" t="inlineStr"/>
      <c r="O18" s="3" t="inlineStr">
        <is>
          <t>TOTP (RFC 6238, replay-protected, sealed secrets) + 10 recovery codes + MFA login (E2E-R1-AUTH-06). Step-up: POST /session/step-up (TOTP code, or password without MFA) re-issues the token with a fresh auth_time; enforced against auth.stepup.window (401 step_up_required) for step-up settings, role create/edit and grant/revoke (E2E-R1-CFG-03). MFA required by role (auth.mfa.required_roles) enforced at workspace entry, 403 mfa_required (E2E-R1-MEM-10). Remaining: WebAuthn/passkeys</t>
        </is>
      </c>
    </row>
    <row r="19">
      <c r="A19" s="3" t="inlineStr">
        <is>
          <t>BPMS-023</t>
        </is>
      </c>
      <c r="B19" s="3" t="inlineStr">
        <is>
          <t>IAM</t>
        </is>
      </c>
      <c r="C19" s="3" t="inlineStr">
        <is>
          <t>Memberships, invites, directory (departments/groups/positions/managers), CSV import</t>
        </is>
      </c>
      <c r="D19" s="3" t="inlineStr">
        <is>
          <t>P0</t>
        </is>
      </c>
      <c r="E19" s="3" t="inlineStr">
        <is>
          <t>R1</t>
        </is>
      </c>
      <c r="F19" s="3" t="inlineStr">
        <is>
          <t>Platform</t>
        </is>
      </c>
      <c r="G19" s="3" t="inlineStr">
        <is>
          <t>FR-W01/W02</t>
        </is>
      </c>
      <c r="H19" s="3" t="inlineStr">
        <is>
          <t>Manager cycles rejected</t>
        </is>
      </c>
      <c r="I19" s="3" t="inlineStr">
        <is>
          <t>M</t>
        </is>
      </c>
      <c r="J19" s="3" t="inlineStr">
        <is>
          <t>BPMS-020</t>
        </is>
      </c>
      <c r="K19" s="3" t="inlineStr">
        <is>
          <t>Done</t>
        </is>
      </c>
      <c r="L19" s="3" t="inlineStr"/>
      <c r="M19" s="3" t="inlineStr"/>
      <c r="N19" s="3" t="inlineStr"/>
      <c r="O19" s="3" t="inlineStr">
        <is>
          <t>procera-members + /api/v1: memberships, invitations (hashed + sealed tokens, 7-day expiry, email-bound, single use; list, revoke, resend), register-by-invite, owner onboarding activates the workspace, workspace switch (ws-scoped JWT), deactivation guards, state gate (423). Directory (migration 0008): department tree (uuid[] paths, sibling-unique names, no moves under descendants), static groups, positions (behind directory.positions.enabled), manager links with cycle rejection, deterministic manager resolution (explicit → nearest department head), per-field source attribution, CSV import with plan/apply. All audited; E2E-R1-MEM-01..03,05..07, E2E-R1-DIR-01..04</t>
        </is>
      </c>
    </row>
    <row r="20">
      <c r="A20" s="3" t="inlineStr">
        <is>
          <t>BPMS-024</t>
        </is>
      </c>
      <c r="B20" s="3" t="inlineStr">
        <is>
          <t>IAM</t>
        </is>
      </c>
      <c r="C20" s="3" t="inlineStr">
        <is>
          <t>Permission catalogue, role templates, custom roles, grants, scopes, preview → Cedar</t>
        </is>
      </c>
      <c r="D20" s="3" t="inlineStr">
        <is>
          <t>P0</t>
        </is>
      </c>
      <c r="E20" s="3" t="inlineStr">
        <is>
          <t>R1</t>
        </is>
      </c>
      <c r="F20" s="3" t="inlineStr">
        <is>
          <t>Platform</t>
        </is>
      </c>
      <c r="G20" s="3" t="inlineStr">
        <is>
          <t>FR-W03, ADR-0011</t>
        </is>
      </c>
      <c r="H20" s="3" t="inlineStr">
        <is>
          <t>No-escalation property test</t>
        </is>
      </c>
      <c r="I20" s="3" t="inlineStr">
        <is>
          <t>L</t>
        </is>
      </c>
      <c r="J20" s="3" t="inlineStr">
        <is>
          <t>BPMS-023</t>
        </is>
      </c>
      <c r="K20" s="3" t="inlineStr">
        <is>
          <t>Done</t>
        </is>
      </c>
      <c r="L20" s="3" t="inlineStr"/>
      <c r="M20" s="3" t="inlineStr"/>
      <c r="N20" s="3" t="inlineStr"/>
      <c r="O20" s="3" t="inlineStr">
        <is>
          <t>procera-access: permission catalogue + 12 role templates; custom roles (no escalation on create/edit/grant/revoke, built-ins immutable, clone lineage); grants to members or static groups (migration 0009), scoped (workspace/department/collection/process/case) with expiry, compiled to Cedar; members inherit their department subtree so department-scoped admins reach only it; invariants (workspace isolation, active members only); last-owner protection; role change preview; access_revisions cache; all changes audited. Property tests: no escalation (64 cases) and preview matches effect (48 cases), both against Postgres. E2E-R1-MEM-04,08,09</t>
        </is>
      </c>
    </row>
    <row r="21">
      <c r="A21" s="3" t="inlineStr">
        <is>
          <t>BPMS-025</t>
        </is>
      </c>
      <c r="B21" s="3" t="inlineStr">
        <is>
          <t>SEC</t>
        </is>
      </c>
      <c r="C21" s="3" t="inlineStr">
        <is>
          <t>Forced RLS + repository WsCtx + CI cross-workspace sweep</t>
        </is>
      </c>
      <c r="D21" s="3" t="inlineStr">
        <is>
          <t>P0</t>
        </is>
      </c>
      <c r="E21" s="3" t="inlineStr">
        <is>
          <t>R1</t>
        </is>
      </c>
      <c r="F21" s="3" t="inlineStr">
        <is>
          <t>Platform</t>
        </is>
      </c>
      <c r="G21" s="3" t="inlineStr">
        <is>
          <t>03 §7, SEC-01/02</t>
        </is>
      </c>
      <c r="H21" s="3" t="inlineStr">
        <is>
          <t>Sweep green in CI</t>
        </is>
      </c>
      <c r="I21" s="3" t="inlineStr">
        <is>
          <t>M</t>
        </is>
      </c>
      <c r="J21" s="3" t="inlineStr">
        <is>
          <t>BPMS-020</t>
        </is>
      </c>
      <c r="K21" s="3" t="inlineStr">
        <is>
          <t>Done</t>
        </is>
      </c>
      <c r="L21" s="3" t="inlineStr"/>
      <c r="M21" s="3" t="inlineStr"/>
      <c r="N21" s="3" t="inlineStr"/>
      <c r="O21" s="3" t="inlineStr">
        <is>
          <t>procera-db: migrations (0001-0003), roles bootstrap (app/migrator/discovery), WsTx with tx-local set_config, procera_enable_workspace_rls() with NULLIF, procera_rls_violations guard (tested + enforced at startup), discovery.* functions with column grants; 6 DB tests</t>
        </is>
      </c>
    </row>
    <row r="22">
      <c r="A22" s="3" t="inlineStr">
        <is>
          <t>BPMS-026</t>
        </is>
      </c>
      <c r="B22" s="3" t="inlineStr">
        <is>
          <t>AUD</t>
        </is>
      </c>
      <c r="C22" s="3" t="inlineStr">
        <is>
          <t>Audit chain append + coverage contract test</t>
        </is>
      </c>
      <c r="D22" s="3" t="inlineStr">
        <is>
          <t>P0</t>
        </is>
      </c>
      <c r="E22" s="3" t="inlineStr">
        <is>
          <t>R1</t>
        </is>
      </c>
      <c r="F22" s="3" t="inlineStr">
        <is>
          <t>Platform</t>
        </is>
      </c>
      <c r="G22" s="3" t="inlineStr">
        <is>
          <t>FR-T01, AUD-01/07</t>
        </is>
      </c>
      <c r="H22" s="3" t="inlineStr">
        <is>
          <t>Every mutating route emits 1 event</t>
        </is>
      </c>
      <c r="I22" s="3" t="inlineStr">
        <is>
          <t>M</t>
        </is>
      </c>
      <c r="J22" s="3" t="inlineStr">
        <is>
          <t>BPMS-025</t>
        </is>
      </c>
      <c r="K22" s="3" t="inlineStr">
        <is>
          <t>Done</t>
        </is>
      </c>
      <c r="L22" s="3" t="inlineStr"/>
      <c r="M22" s="3" t="inlineStr"/>
      <c r="N22" s="3" t="inlineStr"/>
      <c r="O22" s="3" t="inlineStr">
        <is>
          <t>procera-audit: JCS/SHA-256 per-workspace chain in the business tx, batched sealer, verifier, monthly partitions with forced RLS, append-only grants + trigger; tamper test. Route audit contract (audit_contract.rs): a unit test fails on any mutating route without an entry; E2E-R1-AUD-01 checks every route's appended events against it. Gaps closed: TOTP enrolment start, workspace selection, role/grant changes. data_access events follow with restricted data (BPMS-040+)</t>
        </is>
      </c>
    </row>
    <row r="23">
      <c r="A23" s="3" t="inlineStr">
        <is>
          <t>BPMS-027</t>
        </is>
      </c>
      <c r="B23" s="3" t="inlineStr">
        <is>
          <t>CFG</t>
        </is>
      </c>
      <c r="C23" s="3" t="inlineStr">
        <is>
          <t>Settings layering, floors, profiles, explainer</t>
        </is>
      </c>
      <c r="D23" s="3" t="inlineStr">
        <is>
          <t>P0</t>
        </is>
      </c>
      <c r="E23" s="3" t="inlineStr">
        <is>
          <t>R1</t>
        </is>
      </c>
      <c r="F23" s="3" t="inlineStr">
        <is>
          <t>Platform</t>
        </is>
      </c>
      <c r="G23" s="3" t="inlineStr">
        <is>
          <t>FR-S05, FR-W04/W06, CFG-001..003</t>
        </is>
      </c>
      <c r="H23" s="3" t="inlineStr">
        <is>
          <t>Never looser than floor</t>
        </is>
      </c>
      <c r="I23" s="3" t="inlineStr">
        <is>
          <t>M</t>
        </is>
      </c>
      <c r="J23" s="3" t="inlineStr">
        <is>
          <t>BPMS-020</t>
        </is>
      </c>
      <c r="K23" s="3" t="inlineStr">
        <is>
          <t>In progress</t>
        </is>
      </c>
      <c r="L23" s="3" t="inlineStr"/>
      <c r="M23" s="3" t="inlineStr"/>
      <c r="N23" s="3" t="inlineStr"/>
      <c r="O23" s="3" t="inlineStr">
        <is>
          <t>procera-settings: catalogue in code (P0 subset, 38 keys) with comparators; platform floors + workspace values + append-only revisions (migration 0007, RLS); 4 configuration profiles applied at workspace creation; resolution with clamping when a floor is raised; explainer; /api/v1/settings (list, explainer, PUT per key with If-Match, history) and /sysapi/v1/settings floors; reasons for ⚡ keys, step-up = MFA session (interim); audited (setting.changed, platform.floor_changed); property test (512 cases, never looser than floor); E2E-R1-CFG-01..05. Remaining: department/collection overrides (needs directory), profile switch plan/apply (CFG-017), settings cache invalidation (CFG-004)</t>
        </is>
      </c>
    </row>
    <row r="24">
      <c r="A24" s="3" t="inlineStr">
        <is>
          <t>BPMS-028</t>
        </is>
      </c>
      <c r="B24" s="3" t="inlineStr">
        <is>
          <t>UX</t>
        </is>
      </c>
      <c r="C24" s="3" t="inlineStr">
        <is>
          <t>Shared DataGrid v1 (sort, filter builder, saved views, export, keyboard)</t>
        </is>
      </c>
      <c r="D24" s="3" t="inlineStr">
        <is>
          <t>P0</t>
        </is>
      </c>
      <c r="E24" s="3" t="inlineStr">
        <is>
          <t>R1</t>
        </is>
      </c>
      <c r="F24" s="3" t="inlineStr">
        <is>
          <t>FE</t>
        </is>
      </c>
      <c r="G24" s="3" t="inlineStr">
        <is>
          <t>FR-V01–V09</t>
        </is>
      </c>
      <c r="H24" s="3" t="inlineStr">
        <is>
          <t>Used by Members &amp; Workspaces</t>
        </is>
      </c>
      <c r="I24" s="3" t="inlineStr">
        <is>
          <t>L</t>
        </is>
      </c>
      <c r="J24" s="3" t="inlineStr">
        <is>
          <t>BPMS-010</t>
        </is>
      </c>
      <c r="K24" s="3" t="inlineStr">
        <is>
          <t>Not started</t>
        </is>
      </c>
      <c r="L24" s="3" t="inlineStr"/>
      <c r="M24" s="3" t="inlineStr"/>
      <c r="N24" s="3" t="inlineStr"/>
      <c r="O24" s="3" t="inlineStr"/>
    </row>
    <row r="25">
      <c r="A25" s="3" t="inlineStr">
        <is>
          <t>BPMS-029</t>
        </is>
      </c>
      <c r="B25" s="3" t="inlineStr">
        <is>
          <t>ENG</t>
        </is>
      </c>
      <c r="C25" s="3" t="inlineStr">
        <is>
          <t>Outbox + dispatcher + inbox dedup + idempotency keys</t>
        </is>
      </c>
      <c r="D25" s="3" t="inlineStr">
        <is>
          <t>P0</t>
        </is>
      </c>
      <c r="E25" s="3" t="inlineStr">
        <is>
          <t>R1</t>
        </is>
      </c>
      <c r="F25" s="3" t="inlineStr">
        <is>
          <t>Platform</t>
        </is>
      </c>
      <c r="G25" s="3" t="inlineStr">
        <is>
          <t>ADR-0005</t>
        </is>
      </c>
      <c r="H25" s="3" t="inlineStr">
        <is>
          <t>T02 skeleton passes</t>
        </is>
      </c>
      <c r="I25" s="3" t="inlineStr">
        <is>
          <t>M</t>
        </is>
      </c>
      <c r="J25" s="3" t="inlineStr">
        <is>
          <t>BPMS-011</t>
        </is>
      </c>
      <c r="K25" s="3" t="inlineStr">
        <is>
          <t>Done</t>
        </is>
      </c>
      <c r="L25" s="3" t="inlineStr"/>
      <c r="M25" s="3" t="inlineStr"/>
      <c r="N25" s="3" t="inlineStr"/>
      <c r="O25" s="3" t="inlineStr">
        <is>
          <t>Outbox/inbox/idempotency tables + helpers (SKIP LOCKED claims, replay/conflict). Dispatcher (procera_db::dispatch, migration 0010): due-workspace discovery, per-workspace advisory lock, per-aggregate ordered delivery to a Bus, at-least-once with exponential backoff (max 5 min) and hold-back behind a failed event, NOTIFY trigger wake-ups + 1 s polling; runs in serve --all; /__test/drain really drains. Tests: order/backoff/hold-back/workspaces + NOTIFY wake-up; E2E-R1-MEM-07. Consumers (mailer) arrive with BPMS-048</t>
        </is>
      </c>
    </row>
    <row r="26">
      <c r="A26" s="3" t="inlineStr">
        <is>
          <t>BPMS-030</t>
        </is>
      </c>
      <c r="B26" s="3" t="inlineStr">
        <is>
          <t>ENG</t>
        </is>
      </c>
      <c r="C26" s="3" t="inlineStr">
        <is>
          <t>Key hierarchy: KeyProvider (sealed local, OpenBao, KMS), per-workspace KEK</t>
        </is>
      </c>
      <c r="D26" s="3" t="inlineStr">
        <is>
          <t>P0</t>
        </is>
      </c>
      <c r="E26" s="3" t="inlineStr">
        <is>
          <t>R1</t>
        </is>
      </c>
      <c r="F26" s="3" t="inlineStr">
        <is>
          <t>Platform/Sec</t>
        </is>
      </c>
      <c r="G26" s="3" t="inlineStr">
        <is>
          <t>04 §8, 06 §4</t>
        </is>
      </c>
      <c r="H26" s="3" t="inlineStr">
        <is>
          <t>Rotation + shred tested</t>
        </is>
      </c>
      <c r="I26" s="3" t="inlineStr">
        <is>
          <t>M</t>
        </is>
      </c>
      <c r="J26" s="3" t="inlineStr">
        <is>
          <t>BPMS-020</t>
        </is>
      </c>
      <c r="K26" s="3" t="inlineStr">
        <is>
          <t>In progress</t>
        </is>
      </c>
      <c r="L26" s="3" t="inlineStr"/>
      <c r="M26" s="3" t="inlineStr"/>
      <c r="N26" s="3" t="inlineStr"/>
      <c r="O26" s="3" t="inlineStr">
        <is>
          <t>procera-crypto: LocalKey (env root key, HMAC-derived purpose keys), AES-256-GCM seal/open bound to context, token helpers, procera keygen. Remaining: KMS/OpenBao adapters, per-workspace KEKs, rotation</t>
        </is>
      </c>
    </row>
    <row r="27">
      <c r="A27" s="3" t="inlineStr">
        <is>
          <t>BPMS-031</t>
        </is>
      </c>
      <c r="B27" s="3" t="inlineStr">
        <is>
          <t>UX</t>
        </is>
      </c>
      <c r="C27" s="3" t="inlineStr">
        <is>
          <t>App shell, workspace switcher, system console shell, ⌘K</t>
        </is>
      </c>
      <c r="D27" s="3" t="inlineStr">
        <is>
          <t>P0</t>
        </is>
      </c>
      <c r="E27" s="3" t="inlineStr">
        <is>
          <t>R1</t>
        </is>
      </c>
      <c r="F27" s="3" t="inlineStr">
        <is>
          <t>FE</t>
        </is>
      </c>
      <c r="G27" s="3" t="inlineStr">
        <is>
          <t>UX-002/003</t>
        </is>
      </c>
      <c r="H27" s="3" t="inlineStr">
        <is>
          <t>Keyboard nav</t>
        </is>
      </c>
      <c r="I27" s="3" t="inlineStr">
        <is>
          <t>M</t>
        </is>
      </c>
      <c r="J27" s="3" t="inlineStr">
        <is>
          <t>BPMS-010</t>
        </is>
      </c>
      <c r="K27" s="3" t="inlineStr">
        <is>
          <t>Not started</t>
        </is>
      </c>
      <c r="L27" s="3" t="inlineStr"/>
      <c r="M27" s="3" t="inlineStr"/>
      <c r="N27" s="3" t="inlineStr"/>
      <c r="O27" s="3" t="inlineStr"/>
    </row>
    <row r="28">
      <c r="A28" s="3" t="inlineStr">
        <is>
          <t>BPMS-032</t>
        </is>
      </c>
      <c r="B28" s="3" t="inlineStr">
        <is>
          <t>E2E</t>
        </is>
      </c>
      <c r="C28" s="3" t="inlineStr">
        <is>
          <t>E2E-R1 pack (R1-01…19 + ISO)</t>
        </is>
      </c>
      <c r="D28" s="3" t="inlineStr">
        <is>
          <t>P0</t>
        </is>
      </c>
      <c r="E28" s="3" t="inlineStr">
        <is>
          <t>R1</t>
        </is>
      </c>
      <c r="F28" s="3" t="inlineStr">
        <is>
          <t>SDET + feature owners</t>
        </is>
      </c>
      <c r="G28" s="3" t="inlineStr">
        <is>
          <t>23 §5</t>
        </is>
      </c>
      <c r="H28" s="3" t="inlineStr">
        <is>
          <t>Green on Chromium + mobile</t>
        </is>
      </c>
      <c r="I28" s="3" t="inlineStr">
        <is>
          <t>L</t>
        </is>
      </c>
      <c r="J28" s="3" t="inlineStr">
        <is>
          <t>BPMS-013</t>
        </is>
      </c>
      <c r="K28" s="3" t="inlineStr">
        <is>
          <t>Not started</t>
        </is>
      </c>
      <c r="L28" s="3" t="inlineStr"/>
      <c r="M28" s="3" t="inlineStr"/>
      <c r="N28" s="3" t="inlineStr"/>
      <c r="O28" s="3" t="inlineStr"/>
    </row>
    <row r="29">
      <c r="A29" s="3" t="inlineStr">
        <is>
          <t>BPMS-033</t>
        </is>
      </c>
      <c r="B29" s="3" t="inlineStr">
        <is>
          <t>OPS</t>
        </is>
      </c>
      <c r="C29" s="3" t="inlineStr">
        <is>
          <t>Valkey cache port (rate limit, session cache, policy/settings cache, SSE fan-out) + cache-off fallback</t>
        </is>
      </c>
      <c r="D29" s="3" t="inlineStr">
        <is>
          <t>P0</t>
        </is>
      </c>
      <c r="E29" s="3" t="inlineStr">
        <is>
          <t>R1</t>
        </is>
      </c>
      <c r="F29" s="3" t="inlineStr">
        <is>
          <t>Platform</t>
        </is>
      </c>
      <c r="G29" s="3" t="inlineStr">
        <is>
          <t>ADR-0019</t>
        </is>
      </c>
      <c r="H29" s="3" t="inlineStr">
        <is>
          <t>E2E passes with cache off</t>
        </is>
      </c>
      <c r="I29" s="3" t="inlineStr">
        <is>
          <t>M</t>
        </is>
      </c>
      <c r="J29" s="3" t="inlineStr">
        <is>
          <t>BPMS-020</t>
        </is>
      </c>
      <c r="K29" s="3" t="inlineStr">
        <is>
          <t>Done</t>
        </is>
      </c>
      <c r="L29" s="3" t="inlineStr"/>
      <c r="M29" s="3" t="inlineStr"/>
      <c r="N29" s="3" t="inlineStr"/>
      <c r="O29" s="3" t="inlineStr">
        <is>
          <t>procera-cache: memory + Valkey/Redis (redis 1.7, BSD-3) with ws:/sys: key namespacing, TTL-only writes, Lua fixed-window rate limit with in-process fallback, degraded health; wired into procera (/readyz), CI Valkey service</t>
        </is>
      </c>
    </row>
    <row r="30">
      <c r="A30" s="3" t="inlineStr">
        <is>
          <t>BPMS-034</t>
        </is>
      </c>
      <c r="B30" s="3" t="inlineStr">
        <is>
          <t>BRAND</t>
        </is>
      </c>
      <c r="C30" s="3" t="inlineStr">
        <is>
          <t>Brand vector masters (SVG symbol/wordmark/lockups, small-size symbol), favicon/PWA icon set from vector, trademark &amp; domain search</t>
        </is>
      </c>
      <c r="D30" s="3" t="inlineStr">
        <is>
          <t>P0</t>
        </is>
      </c>
      <c r="E30" s="3" t="inlineStr">
        <is>
          <t>R1</t>
        </is>
      </c>
      <c r="F30" s="3" t="inlineStr">
        <is>
          <t>Design + Product</t>
        </is>
      </c>
      <c r="G30" s="3" t="inlineStr">
        <is>
          <t>assets/brand, OQ-01, U-16</t>
        </is>
      </c>
      <c r="H30" s="3" t="inlineStr">
        <is>
          <t>SVGs in assets/brand/vector; clearance memo</t>
        </is>
      </c>
      <c r="I30" s="3" t="inlineStr">
        <is>
          <t>S</t>
        </is>
      </c>
      <c r="J30" s="3" t="inlineStr"/>
      <c r="K30" s="3" t="inlineStr">
        <is>
          <t>In progress</t>
        </is>
      </c>
      <c r="L30" s="3" t="inlineStr"/>
      <c r="M30" s="3" t="inlineStr"/>
      <c r="N30" s="3" t="inlineStr"/>
      <c r="O30" s="3" t="inlineStr">
        <is>
          <t>Raster assets + brand guide merged; SVG masters and trademark search pending</t>
        </is>
      </c>
    </row>
    <row r="31">
      <c r="A31" s="3" t="inlineStr">
        <is>
          <t>BPMS-040</t>
        </is>
      </c>
      <c r="B31" s="3" t="inlineStr">
        <is>
          <t>LIB</t>
        </is>
      </c>
      <c r="C31" s="3" t="inlineStr">
        <is>
          <t>Artifacts, versions, lifecycle state machine, immutability trigger, SoD</t>
        </is>
      </c>
      <c r="D31" s="3" t="inlineStr">
        <is>
          <t>P0</t>
        </is>
      </c>
      <c r="E31" s="3" t="inlineStr">
        <is>
          <t>R1</t>
        </is>
      </c>
      <c r="F31" s="3" t="inlineStr">
        <is>
          <t>Backend</t>
        </is>
      </c>
      <c r="G31" s="3" t="inlineStr">
        <is>
          <t>FR-G04, T07</t>
        </is>
      </c>
      <c r="H31" s="3" t="inlineStr">
        <is>
          <t>T07 passes</t>
        </is>
      </c>
      <c r="I31" s="3" t="inlineStr">
        <is>
          <t>L</t>
        </is>
      </c>
      <c r="J31" s="3" t="inlineStr">
        <is>
          <t>BPMS-024,026</t>
        </is>
      </c>
      <c r="K31" s="3" t="inlineStr">
        <is>
          <t>Not started</t>
        </is>
      </c>
      <c r="L31" s="3" t="inlineStr"/>
      <c r="M31" s="3" t="inlineStr"/>
      <c r="N31" s="3" t="inlineStr"/>
      <c r="O31" s="3" t="inlineStr"/>
    </row>
    <row r="32">
      <c r="A32" s="3" t="inlineStr">
        <is>
          <t>BPMS-041</t>
        </is>
      </c>
      <c r="B32" s="3" t="inlineStr">
        <is>
          <t>LIB</t>
        </is>
      </c>
      <c r="C32" s="3" t="inlineStr">
        <is>
          <t>Landscape, collections, owners, RACI, visibility</t>
        </is>
      </c>
      <c r="D32" s="3" t="inlineStr">
        <is>
          <t>P0</t>
        </is>
      </c>
      <c r="E32" s="3" t="inlineStr">
        <is>
          <t>R1</t>
        </is>
      </c>
      <c r="F32" s="3" t="inlineStr">
        <is>
          <t>Fullstack</t>
        </is>
      </c>
      <c r="G32" s="3" t="inlineStr">
        <is>
          <t>FR-G01/G02</t>
        </is>
      </c>
      <c r="H32" s="3" t="inlineStr">
        <is>
          <t>Search authorized-only</t>
        </is>
      </c>
      <c r="I32" s="3" t="inlineStr">
        <is>
          <t>M</t>
        </is>
      </c>
      <c r="J32" s="3" t="inlineStr">
        <is>
          <t>BPMS-040</t>
        </is>
      </c>
      <c r="K32" s="3" t="inlineStr">
        <is>
          <t>Not started</t>
        </is>
      </c>
      <c r="L32" s="3" t="inlineStr"/>
      <c r="M32" s="3" t="inlineStr"/>
      <c r="N32" s="3" t="inlineStr"/>
      <c r="O32" s="3" t="inlineStr"/>
    </row>
    <row r="33">
      <c r="A33" s="3" t="inlineStr">
        <is>
          <t>BPMS-042</t>
        </is>
      </c>
      <c r="B33" s="3" t="inlineStr">
        <is>
          <t>LIB</t>
        </is>
      </c>
      <c r="C33" s="3" t="inlineStr">
        <is>
          <t>SOP/policy block editor + renderer (web/PDF)</t>
        </is>
      </c>
      <c r="D33" s="3" t="inlineStr">
        <is>
          <t>P0</t>
        </is>
      </c>
      <c r="E33" s="3" t="inlineStr">
        <is>
          <t>R1</t>
        </is>
      </c>
      <c r="F33" s="3" t="inlineStr">
        <is>
          <t>FE</t>
        </is>
      </c>
      <c r="G33" s="3" t="inlineStr">
        <is>
          <t>FR-G03, ADR-0013, U-10</t>
        </is>
      </c>
      <c r="H33" s="3" t="inlineStr">
        <is>
          <t>Tagged PDF export</t>
        </is>
      </c>
      <c r="I33" s="3" t="inlineStr">
        <is>
          <t>L</t>
        </is>
      </c>
      <c r="J33" s="3" t="inlineStr">
        <is>
          <t>BPMS-040</t>
        </is>
      </c>
      <c r="K33" s="3" t="inlineStr">
        <is>
          <t>Not started</t>
        </is>
      </c>
      <c r="L33" s="3" t="inlineStr"/>
      <c r="M33" s="3" t="inlineStr"/>
      <c r="N33" s="3" t="inlineStr"/>
      <c r="O33" s="3" t="inlineStr"/>
    </row>
    <row r="34">
      <c r="A34" s="3" t="inlineStr">
        <is>
          <t>BPMS-043</t>
        </is>
      </c>
      <c r="B34" s="3" t="inlineStr">
        <is>
          <t>LIB</t>
        </is>
      </c>
      <c r="C34" s="3" t="inlineStr">
        <is>
          <t>Semantic diff across artifact kinds</t>
        </is>
      </c>
      <c r="D34" s="3" t="inlineStr">
        <is>
          <t>P0</t>
        </is>
      </c>
      <c r="E34" s="3" t="inlineStr">
        <is>
          <t>R1</t>
        </is>
      </c>
      <c r="F34" s="3" t="inlineStr">
        <is>
          <t>Fullstack</t>
        </is>
      </c>
      <c r="G34" s="3" t="inlineStr">
        <is>
          <t>FR-G05</t>
        </is>
      </c>
      <c r="H34" s="3" t="inlineStr">
        <is>
          <t>Diff covers bundle artifacts</t>
        </is>
      </c>
      <c r="I34" s="3" t="inlineStr">
        <is>
          <t>M</t>
        </is>
      </c>
      <c r="J34" s="3" t="inlineStr">
        <is>
          <t>BPMS-040</t>
        </is>
      </c>
      <c r="K34" s="3" t="inlineStr">
        <is>
          <t>Not started</t>
        </is>
      </c>
      <c r="L34" s="3" t="inlineStr"/>
      <c r="M34" s="3" t="inlineStr"/>
      <c r="N34" s="3" t="inlineStr"/>
      <c r="O34" s="3" t="inlineStr"/>
    </row>
    <row r="35">
      <c r="A35" s="3" t="inlineStr">
        <is>
          <t>BPMS-044</t>
        </is>
      </c>
      <c r="B35" s="3" t="inlineStr">
        <is>
          <t>LIB</t>
        </is>
      </c>
      <c r="C35" s="3" t="inlineStr">
        <is>
          <t>Reviews, change requests, effective-date scheduling, renewal date, verification badge</t>
        </is>
      </c>
      <c r="D35" s="3" t="inlineStr">
        <is>
          <t>P0</t>
        </is>
      </c>
      <c r="E35" s="3" t="inlineStr">
        <is>
          <t>R1</t>
        </is>
      </c>
      <c r="F35" s="3" t="inlineStr">
        <is>
          <t>Fullstack</t>
        </is>
      </c>
      <c r="G35" s="3" t="inlineStr">
        <is>
          <t>FR-G05/G07, FX-G01/G02</t>
        </is>
      </c>
      <c r="H35" s="3" t="inlineStr">
        <is>
          <t>Expired flagged</t>
        </is>
      </c>
      <c r="I35" s="3" t="inlineStr">
        <is>
          <t>M</t>
        </is>
      </c>
      <c r="J35" s="3" t="inlineStr">
        <is>
          <t>BPMS-040</t>
        </is>
      </c>
      <c r="K35" s="3" t="inlineStr">
        <is>
          <t>Not started</t>
        </is>
      </c>
      <c r="L35" s="3" t="inlineStr"/>
      <c r="M35" s="3" t="inlineStr"/>
      <c r="N35" s="3" t="inlineStr"/>
      <c r="O35" s="3" t="inlineStr"/>
    </row>
    <row r="36">
      <c r="A36" s="3" t="inlineStr">
        <is>
          <t>BPMS-045</t>
        </is>
      </c>
      <c r="B36" s="3" t="inlineStr">
        <is>
          <t>LIB</t>
        </is>
      </c>
      <c r="C36" s="3" t="inlineStr">
        <is>
          <t>Policy library + employee policy portal + applicability</t>
        </is>
      </c>
      <c r="D36" s="3" t="inlineStr">
        <is>
          <t>P0</t>
        </is>
      </c>
      <c r="E36" s="3" t="inlineStr">
        <is>
          <t>R1</t>
        </is>
      </c>
      <c r="F36" s="3" t="inlineStr">
        <is>
          <t>Fullstack</t>
        </is>
      </c>
      <c r="G36" s="3" t="inlineStr">
        <is>
          <t>FR-PL01–PL03</t>
        </is>
      </c>
      <c r="H36" s="3" t="inlineStr">
        <is>
          <t>Applicability enforced</t>
        </is>
      </c>
      <c r="I36" s="3" t="inlineStr">
        <is>
          <t>M</t>
        </is>
      </c>
      <c r="J36" s="3" t="inlineStr">
        <is>
          <t>BPMS-042</t>
        </is>
      </c>
      <c r="K36" s="3" t="inlineStr">
        <is>
          <t>Not started</t>
        </is>
      </c>
      <c r="L36" s="3" t="inlineStr"/>
      <c r="M36" s="3" t="inlineStr"/>
      <c r="N36" s="3" t="inlineStr"/>
      <c r="O36" s="3" t="inlineStr"/>
    </row>
    <row r="37">
      <c r="A37" s="3" t="inlineStr">
        <is>
          <t>BPMS-046</t>
        </is>
      </c>
      <c r="B37" s="3" t="inlineStr">
        <is>
          <t>CAMP</t>
        </is>
      </c>
      <c r="C37" s="3" t="inlineStr">
        <is>
          <t>Campaign engine: ack/quiz-lite, audience snapshot, reminders, escalation, new joiners, evidence export</t>
        </is>
      </c>
      <c r="D37" s="3" t="inlineStr">
        <is>
          <t>P0</t>
        </is>
      </c>
      <c r="E37" s="3" t="inlineStr">
        <is>
          <t>R1</t>
        </is>
      </c>
      <c r="F37" s="3" t="inlineStr">
        <is>
          <t>Backend</t>
        </is>
      </c>
      <c r="G37" s="3" t="inlineStr">
        <is>
          <t>FR-AK01–04, ADR-0017</t>
        </is>
      </c>
      <c r="H37" s="3" t="inlineStr">
        <is>
          <t>5k recipients/min</t>
        </is>
      </c>
      <c r="I37" s="3" t="inlineStr">
        <is>
          <t>L</t>
        </is>
      </c>
      <c r="J37" s="3" t="inlineStr">
        <is>
          <t>BPMS-029</t>
        </is>
      </c>
      <c r="K37" s="3" t="inlineStr">
        <is>
          <t>Not started</t>
        </is>
      </c>
      <c r="L37" s="3" t="inlineStr"/>
      <c r="M37" s="3" t="inlineStr"/>
      <c r="N37" s="3" t="inlineStr"/>
      <c r="O37" s="3" t="inlineStr"/>
    </row>
    <row r="38">
      <c r="A38" s="3" t="inlineStr">
        <is>
          <t>BPMS-047</t>
        </is>
      </c>
      <c r="B38" s="3" t="inlineStr">
        <is>
          <t>COMMS</t>
        </is>
      </c>
      <c r="C38" s="3" t="inlineStr">
        <is>
          <t>Announcements: compose, targeting, schedule/expiry, pin, required ack, approval, analytics</t>
        </is>
      </c>
      <c r="D38" s="3" t="inlineStr">
        <is>
          <t>P0</t>
        </is>
      </c>
      <c r="E38" s="3" t="inlineStr">
        <is>
          <t>R1</t>
        </is>
      </c>
      <c r="F38" s="3" t="inlineStr">
        <is>
          <t>Fullstack</t>
        </is>
      </c>
      <c r="G38" s="3" t="inlineStr">
        <is>
          <t>FR-AN01–06, FX-C01</t>
        </is>
      </c>
      <c r="H38" s="3" t="inlineStr">
        <is>
          <t>J14 passes</t>
        </is>
      </c>
      <c r="I38" s="3" t="inlineStr">
        <is>
          <t>L</t>
        </is>
      </c>
      <c r="J38" s="3" t="inlineStr">
        <is>
          <t>BPMS-046</t>
        </is>
      </c>
      <c r="K38" s="3" t="inlineStr">
        <is>
          <t>Not started</t>
        </is>
      </c>
      <c r="L38" s="3" t="inlineStr"/>
      <c r="M38" s="3" t="inlineStr"/>
      <c r="N38" s="3" t="inlineStr"/>
      <c r="O38" s="3" t="inlineStr"/>
    </row>
    <row r="39">
      <c r="A39" s="3" t="inlineStr">
        <is>
          <t>BPMS-048</t>
        </is>
      </c>
      <c r="B39" s="3" t="inlineStr">
        <is>
          <t>NOTIF</t>
        </is>
      </c>
      <c r="C39" s="3" t="inlineStr">
        <is>
          <t>In-app notification centre + SMTP email + templates + digests</t>
        </is>
      </c>
      <c r="D39" s="3" t="inlineStr">
        <is>
          <t>P0</t>
        </is>
      </c>
      <c r="E39" s="3" t="inlineStr">
        <is>
          <t>R1</t>
        </is>
      </c>
      <c r="F39" s="3" t="inlineStr">
        <is>
          <t>Fullstack</t>
        </is>
      </c>
      <c r="G39" s="3" t="inlineStr">
        <is>
          <t>FR-N01/N02/N04</t>
        </is>
      </c>
      <c r="H39" s="3" t="inlineStr">
        <is>
          <t>Bounce handling</t>
        </is>
      </c>
      <c r="I39" s="3" t="inlineStr">
        <is>
          <t>M</t>
        </is>
      </c>
      <c r="J39" s="3" t="inlineStr">
        <is>
          <t>BPMS-029</t>
        </is>
      </c>
      <c r="K39" s="3" t="inlineStr">
        <is>
          <t>Not started</t>
        </is>
      </c>
      <c r="L39" s="3" t="inlineStr"/>
      <c r="M39" s="3" t="inlineStr"/>
      <c r="N39" s="3" t="inlineStr"/>
      <c r="O39" s="3" t="inlineStr"/>
    </row>
    <row r="40">
      <c r="A40" s="3" t="inlineStr">
        <is>
          <t>BPMS-049</t>
        </is>
      </c>
      <c r="B40" s="3" t="inlineStr">
        <is>
          <t>SRCH</t>
        </is>
      </c>
      <c r="C40" s="3" t="inlineStr">
        <is>
          <t>Postgres FTS + trgm, permission-filtered search</t>
        </is>
      </c>
      <c r="D40" s="3" t="inlineStr">
        <is>
          <t>P0</t>
        </is>
      </c>
      <c r="E40" s="3" t="inlineStr">
        <is>
          <t>R1</t>
        </is>
      </c>
      <c r="F40" s="3" t="inlineStr">
        <is>
          <t>Backend</t>
        </is>
      </c>
      <c r="G40" s="3" t="inlineStr">
        <is>
          <t>04 §6</t>
        </is>
      </c>
      <c r="H40" s="3" t="inlineStr">
        <is>
          <t>No restricted leakage</t>
        </is>
      </c>
      <c r="I40" s="3" t="inlineStr">
        <is>
          <t>M</t>
        </is>
      </c>
      <c r="J40" s="3" t="inlineStr">
        <is>
          <t>BPMS-040</t>
        </is>
      </c>
      <c r="K40" s="3" t="inlineStr">
        <is>
          <t>Not started</t>
        </is>
      </c>
      <c r="L40" s="3" t="inlineStr"/>
      <c r="M40" s="3" t="inlineStr"/>
      <c r="N40" s="3" t="inlineStr"/>
      <c r="O40" s="3" t="inlineStr"/>
    </row>
    <row r="41">
      <c r="A41" s="3" t="inlineStr">
        <is>
          <t>BPMS-060</t>
        </is>
      </c>
      <c r="B41" s="3" t="inlineStr">
        <is>
          <t>FILE</t>
        </is>
      </c>
      <c r="C41" s="3" t="inlineStr">
        <is>
          <t>Files pipeline: resumable upload, hash, sniff, ClamAV, quarantine, signed URLs</t>
        </is>
      </c>
      <c r="D41" s="3" t="inlineStr">
        <is>
          <t>P0</t>
        </is>
      </c>
      <c r="E41" s="3" t="inlineStr">
        <is>
          <t>R1</t>
        </is>
      </c>
      <c r="F41" s="3" t="inlineStr">
        <is>
          <t>Backend</t>
        </is>
      </c>
      <c r="G41" s="3" t="inlineStr">
        <is>
          <t>FR-F01–F03, F05</t>
        </is>
      </c>
      <c r="H41" s="3" t="inlineStr">
        <is>
          <t>EICAR quarantined; SEC-10</t>
        </is>
      </c>
      <c r="I41" s="3" t="inlineStr">
        <is>
          <t>L</t>
        </is>
      </c>
      <c r="J41" s="3" t="inlineStr">
        <is>
          <t>BPMS-030</t>
        </is>
      </c>
      <c r="K41" s="3" t="inlineStr">
        <is>
          <t>Not started</t>
        </is>
      </c>
      <c r="L41" s="3" t="inlineStr"/>
      <c r="M41" s="3" t="inlineStr"/>
      <c r="N41" s="3" t="inlineStr"/>
      <c r="O41" s="3" t="inlineStr"/>
    </row>
    <row r="42">
      <c r="A42" s="3" t="inlineStr">
        <is>
          <t>BPMS-061</t>
        </is>
      </c>
      <c r="B42" s="3" t="inlineStr">
        <is>
          <t>FILE</t>
        </is>
      </c>
      <c r="C42" s="3" t="inlineStr">
        <is>
          <t>Previews (image/PDF) in sandbox; Office preview spike</t>
        </is>
      </c>
      <c r="D42" s="3" t="inlineStr">
        <is>
          <t>P0</t>
        </is>
      </c>
      <c r="E42" s="3" t="inlineStr">
        <is>
          <t>R1</t>
        </is>
      </c>
      <c r="F42" s="3" t="inlineStr">
        <is>
          <t>Backend</t>
        </is>
      </c>
      <c r="G42" s="3" t="inlineStr">
        <is>
          <t>FR-F04, U-08</t>
        </is>
      </c>
      <c r="H42" s="3" t="inlineStr">
        <is>
          <t>No active content</t>
        </is>
      </c>
      <c r="I42" s="3" t="inlineStr">
        <is>
          <t>M</t>
        </is>
      </c>
      <c r="J42" s="3" t="inlineStr">
        <is>
          <t>BPMS-060</t>
        </is>
      </c>
      <c r="K42" s="3" t="inlineStr">
        <is>
          <t>Not started</t>
        </is>
      </c>
      <c r="L42" s="3" t="inlineStr"/>
      <c r="M42" s="3" t="inlineStr"/>
      <c r="N42" s="3" t="inlineStr"/>
      <c r="O42" s="3" t="inlineStr"/>
    </row>
    <row r="43">
      <c r="A43" s="3" t="inlineStr">
        <is>
          <t>BPMS-062</t>
        </is>
      </c>
      <c r="B43" s="3" t="inlineStr">
        <is>
          <t>FILE</t>
        </is>
      </c>
      <c r="C43" s="3" t="inlineStr">
        <is>
          <t>Workspace Files view, quotas, orphan cleanup</t>
        </is>
      </c>
      <c r="D43" s="3" t="inlineStr">
        <is>
          <t>P0</t>
        </is>
      </c>
      <c r="E43" s="3" t="inlineStr">
        <is>
          <t>R1</t>
        </is>
      </c>
      <c r="F43" s="3" t="inlineStr">
        <is>
          <t>FE</t>
        </is>
      </c>
      <c r="G43" s="3" t="inlineStr">
        <is>
          <t>FR-F06/F07</t>
        </is>
      </c>
      <c r="H43" s="3" t="inlineStr">
        <is>
          <t>Held files undeletable</t>
        </is>
      </c>
      <c r="I43" s="3" t="inlineStr">
        <is>
          <t>M</t>
        </is>
      </c>
      <c r="J43" s="3" t="inlineStr">
        <is>
          <t>BPMS-060,028</t>
        </is>
      </c>
      <c r="K43" s="3" t="inlineStr">
        <is>
          <t>Not started</t>
        </is>
      </c>
      <c r="L43" s="3" t="inlineStr"/>
      <c r="M43" s="3" t="inlineStr"/>
      <c r="N43" s="3" t="inlineStr"/>
      <c r="O43" s="3" t="inlineStr"/>
    </row>
    <row r="44">
      <c r="A44" s="3" t="inlineStr">
        <is>
          <t>BPMS-063</t>
        </is>
      </c>
      <c r="B44" s="3" t="inlineStr">
        <is>
          <t>ADMIN</t>
        </is>
      </c>
      <c r="C44" s="3" t="inlineStr">
        <is>
          <t>Workspace overview dashboard + people &amp; access monitor</t>
        </is>
      </c>
      <c r="D44" s="3" t="inlineStr">
        <is>
          <t>P0</t>
        </is>
      </c>
      <c r="E44" s="3" t="inlineStr">
        <is>
          <t>R1</t>
        </is>
      </c>
      <c r="F44" s="3" t="inlineStr">
        <is>
          <t>FE</t>
        </is>
      </c>
      <c r="G44" s="3" t="inlineStr">
        <is>
          <t>FR-A01/A06</t>
        </is>
      </c>
      <c r="H44" s="3" t="inlineStr">
        <is>
          <t>Every tile drills down</t>
        </is>
      </c>
      <c r="I44" s="3" t="inlineStr">
        <is>
          <t>L</t>
        </is>
      </c>
      <c r="J44" s="3" t="inlineStr">
        <is>
          <t>BPMS-028</t>
        </is>
      </c>
      <c r="K44" s="3" t="inlineStr">
        <is>
          <t>Not started</t>
        </is>
      </c>
      <c r="L44" s="3" t="inlineStr"/>
      <c r="M44" s="3" t="inlineStr"/>
      <c r="N44" s="3" t="inlineStr"/>
      <c r="O44" s="3" t="inlineStr"/>
    </row>
    <row r="45">
      <c r="A45" s="3" t="inlineStr">
        <is>
          <t>BPMS-064</t>
        </is>
      </c>
      <c r="B45" s="3" t="inlineStr">
        <is>
          <t>AUD</t>
        </is>
      </c>
      <c r="C45" s="3" t="inlineStr">
        <is>
          <t>Audit explorer, timelines, saved queries, export</t>
        </is>
      </c>
      <c r="D45" s="3" t="inlineStr">
        <is>
          <t>P0</t>
        </is>
      </c>
      <c r="E45" s="3" t="inlineStr">
        <is>
          <t>R1</t>
        </is>
      </c>
      <c r="F45" s="3" t="inlineStr">
        <is>
          <t>Fullstack</t>
        </is>
      </c>
      <c r="G45" s="3" t="inlineStr">
        <is>
          <t>FR-T03/T04</t>
        </is>
      </c>
      <c r="H45" s="3" t="inlineStr">
        <is>
          <t>P95&lt;2s @10M</t>
        </is>
      </c>
      <c r="I45" s="3" t="inlineStr">
        <is>
          <t>L</t>
        </is>
      </c>
      <c r="J45" s="3" t="inlineStr">
        <is>
          <t>BPMS-026</t>
        </is>
      </c>
      <c r="K45" s="3" t="inlineStr">
        <is>
          <t>Not started</t>
        </is>
      </c>
      <c r="L45" s="3" t="inlineStr"/>
      <c r="M45" s="3" t="inlineStr"/>
      <c r="N45" s="3" t="inlineStr"/>
      <c r="O45" s="3" t="inlineStr"/>
    </row>
    <row r="46">
      <c r="A46" s="3" t="inlineStr">
        <is>
          <t>BPMS-065</t>
        </is>
      </c>
      <c r="B46" s="3" t="inlineStr">
        <is>
          <t>PLAT</t>
        </is>
      </c>
      <c r="C46" s="3" t="inlineStr">
        <is>
          <t>System console: workspaces grid, quotas, health, system audit</t>
        </is>
      </c>
      <c r="D46" s="3" t="inlineStr">
        <is>
          <t>P0</t>
        </is>
      </c>
      <c r="E46" s="3" t="inlineStr">
        <is>
          <t>R1</t>
        </is>
      </c>
      <c r="F46" s="3" t="inlineStr">
        <is>
          <t>FE</t>
        </is>
      </c>
      <c r="G46" s="3" t="inlineStr">
        <is>
          <t>FR-S02–S09</t>
        </is>
      </c>
      <c r="H46" s="3" t="inlineStr">
        <is>
          <t>—</t>
        </is>
      </c>
      <c r="I46" s="3" t="inlineStr">
        <is>
          <t>M</t>
        </is>
      </c>
      <c r="J46" s="3" t="inlineStr">
        <is>
          <t>BPMS-020</t>
        </is>
      </c>
      <c r="K46" s="3" t="inlineStr">
        <is>
          <t>Not started</t>
        </is>
      </c>
      <c r="L46" s="3" t="inlineStr"/>
      <c r="M46" s="3" t="inlineStr"/>
      <c r="N46" s="3" t="inlineStr"/>
      <c r="O46" s="3" t="inlineStr"/>
    </row>
    <row r="47">
      <c r="A47" s="3" t="inlineStr">
        <is>
          <t>BPMS-120</t>
        </is>
      </c>
      <c r="B47" s="3" t="inlineStr">
        <is>
          <t>PILOT</t>
        </is>
      </c>
      <c r="C47" s="3" t="inlineStr">
        <is>
          <t>Pilot workspaces (Starter + Enterprise profile), 3–5 real processes, 4 weeks</t>
        </is>
      </c>
      <c r="D47" s="3" t="inlineStr">
        <is>
          <t>P0</t>
        </is>
      </c>
      <c r="E47" s="3" t="inlineStr">
        <is>
          <t>R1</t>
        </is>
      </c>
      <c r="F47" s="3" t="inlineStr">
        <is>
          <t>Product</t>
        </is>
      </c>
      <c r="G47" s="3" t="inlineStr">
        <is>
          <t>G3</t>
        </is>
      </c>
      <c r="H47" s="3" t="inlineStr">
        <is>
          <t>G3 checklist</t>
        </is>
      </c>
      <c r="I47" s="3" t="inlineStr">
        <is>
          <t>L</t>
        </is>
      </c>
      <c r="J47" s="3" t="inlineStr">
        <is>
          <t>M6</t>
        </is>
      </c>
      <c r="K47" s="3" t="inlineStr">
        <is>
          <t>Not started</t>
        </is>
      </c>
      <c r="L47" s="3" t="inlineStr"/>
      <c r="M47" s="3" t="inlineStr"/>
      <c r="N47" s="3" t="inlineStr"/>
      <c r="O47" s="3" t="inlineStr"/>
    </row>
    <row r="48">
      <c r="A48" s="3" t="inlineStr">
        <is>
          <t>BPMS-080</t>
        </is>
      </c>
      <c r="B48" s="3" t="inlineStr">
        <is>
          <t>RT</t>
        </is>
      </c>
      <c r="C48" s="3" t="inlineStr">
        <is>
          <t>IR v1 model + compiler (§11 checks, diagnostics, semantic diff)</t>
        </is>
      </c>
      <c r="D48" s="3" t="inlineStr">
        <is>
          <t>P0</t>
        </is>
      </c>
      <c r="E48" s="3" t="inlineStr">
        <is>
          <t>R2</t>
        </is>
      </c>
      <c r="F48" s="3" t="inlineStr">
        <is>
          <t>Runtime</t>
        </is>
      </c>
      <c r="G48" s="3" t="inlineStr">
        <is>
          <t>11, ADR-0003</t>
        </is>
      </c>
      <c r="H48" s="3" t="inlineStr">
        <is>
          <t>All checks covered</t>
        </is>
      </c>
      <c r="I48" s="3" t="inlineStr">
        <is>
          <t>L</t>
        </is>
      </c>
      <c r="J48" s="3" t="inlineStr">
        <is>
          <t>BPMS-009</t>
        </is>
      </c>
      <c r="K48" s="3" t="inlineStr">
        <is>
          <t>Not started</t>
        </is>
      </c>
      <c r="L48" s="3" t="inlineStr"/>
      <c r="M48" s="3" t="inlineStr"/>
      <c r="N48" s="3" t="inlineStr"/>
      <c r="O48" s="3" t="inlineStr"/>
    </row>
    <row r="49">
      <c r="A49" s="3" t="inlineStr">
        <is>
          <t>BPMS-081</t>
        </is>
      </c>
      <c r="B49" s="3" t="inlineStr">
        <is>
          <t>RT</t>
        </is>
      </c>
      <c r="C49" s="3" t="inlineStr">
        <is>
          <t>Expression engine integration (typed, budgeted, WASM build)</t>
        </is>
      </c>
      <c r="D49" s="3" t="inlineStr">
        <is>
          <t>P0</t>
        </is>
      </c>
      <c r="E49" s="3" t="inlineStr">
        <is>
          <t>R2</t>
        </is>
      </c>
      <c r="F49" s="3" t="inlineStr">
        <is>
          <t>Runtime</t>
        </is>
      </c>
      <c r="G49" s="3" t="inlineStr">
        <is>
          <t>ADR-0010</t>
        </is>
      </c>
      <c r="H49" s="3" t="inlineStr">
        <is>
          <t>Budget exhaustion = incident</t>
        </is>
      </c>
      <c r="I49" s="3" t="inlineStr">
        <is>
          <t>M</t>
        </is>
      </c>
      <c r="J49" s="3" t="inlineStr">
        <is>
          <t>BPMS-009</t>
        </is>
      </c>
      <c r="K49" s="3" t="inlineStr">
        <is>
          <t>Not started</t>
        </is>
      </c>
      <c r="L49" s="3" t="inlineStr"/>
      <c r="M49" s="3" t="inlineStr"/>
      <c r="N49" s="3" t="inlineStr"/>
      <c r="O49" s="3" t="inlineStr"/>
    </row>
    <row r="50">
      <c r="A50" s="3" t="inlineStr">
        <is>
          <t>BPMS-082</t>
        </is>
      </c>
      <c r="B50" s="3" t="inlineStr">
        <is>
          <t>RT</t>
        </is>
      </c>
      <c r="C50" s="3" t="inlineStr">
        <is>
          <t>Interpreter: advance loop, tokens, splits/joins, end/terminate</t>
        </is>
      </c>
      <c r="D50" s="3" t="inlineStr">
        <is>
          <t>P0</t>
        </is>
      </c>
      <c r="E50" s="3" t="inlineStr">
        <is>
          <t>R2</t>
        </is>
      </c>
      <c r="F50" s="3" t="inlineStr">
        <is>
          <t>Runtime</t>
        </is>
      </c>
      <c r="G50" s="3" t="inlineStr">
        <is>
          <t>04 §4</t>
        </is>
      </c>
      <c r="H50" s="3" t="inlineStr">
        <is>
          <t>Conformance green</t>
        </is>
      </c>
      <c r="I50" s="3" t="inlineStr">
        <is>
          <t>L</t>
        </is>
      </c>
      <c r="J50" s="3" t="inlineStr">
        <is>
          <t>BPMS-080</t>
        </is>
      </c>
      <c r="K50" s="3" t="inlineStr">
        <is>
          <t>Not started</t>
        </is>
      </c>
      <c r="L50" s="3" t="inlineStr"/>
      <c r="M50" s="3" t="inlineStr"/>
      <c r="N50" s="3" t="inlineStr"/>
      <c r="O50" s="3" t="inlineStr"/>
    </row>
    <row r="51">
      <c r="A51" s="3" t="inlineStr">
        <is>
          <t>BPMS-083</t>
        </is>
      </c>
      <c r="B51" s="3" t="inlineStr">
        <is>
          <t>RT</t>
        </is>
      </c>
      <c r="C51" s="3" t="inlineStr">
        <is>
          <t>Jobs + timers + scheduler with leases/fencing; calendars; SLA clocks</t>
        </is>
      </c>
      <c r="D51" s="3" t="inlineStr">
        <is>
          <t>P0</t>
        </is>
      </c>
      <c r="E51" s="3" t="inlineStr">
        <is>
          <t>R2</t>
        </is>
      </c>
      <c r="F51" s="3" t="inlineStr">
        <is>
          <t>Runtime</t>
        </is>
      </c>
      <c r="G51" s="3" t="inlineStr">
        <is>
          <t>04 §4.4, FR-E12</t>
        </is>
      </c>
      <c r="H51" s="3" t="inlineStr">
        <is>
          <t>T06; lateness SLO</t>
        </is>
      </c>
      <c r="I51" s="3" t="inlineStr">
        <is>
          <t>L</t>
        </is>
      </c>
      <c r="J51" s="3" t="inlineStr">
        <is>
          <t>BPMS-082</t>
        </is>
      </c>
      <c r="K51" s="3" t="inlineStr">
        <is>
          <t>Not started</t>
        </is>
      </c>
      <c r="L51" s="3" t="inlineStr"/>
      <c r="M51" s="3" t="inlineStr"/>
      <c r="N51" s="3" t="inlineStr"/>
      <c r="O51" s="3" t="inlineStr"/>
    </row>
    <row r="52">
      <c r="A52" s="3" t="inlineStr">
        <is>
          <t>BPMS-084</t>
        </is>
      </c>
      <c r="B52" s="3" t="inlineStr">
        <is>
          <t>RT</t>
        </is>
      </c>
      <c r="C52" s="3" t="inlineStr">
        <is>
          <t>Release bundles + publish integration</t>
        </is>
      </c>
      <c r="D52" s="3" t="inlineStr">
        <is>
          <t>P0</t>
        </is>
      </c>
      <c r="E52" s="3" t="inlineStr">
        <is>
          <t>R2</t>
        </is>
      </c>
      <c r="F52" s="3" t="inlineStr">
        <is>
          <t>Runtime</t>
        </is>
      </c>
      <c r="G52" s="3" t="inlineStr">
        <is>
          <t>ADR-0012</t>
        </is>
      </c>
      <c r="H52" s="3" t="inlineStr">
        <is>
          <t>T03 passes</t>
        </is>
      </c>
      <c r="I52" s="3" t="inlineStr">
        <is>
          <t>M</t>
        </is>
      </c>
      <c r="J52" s="3" t="inlineStr">
        <is>
          <t>BPMS-040,080</t>
        </is>
      </c>
      <c r="K52" s="3" t="inlineStr">
        <is>
          <t>Not started</t>
        </is>
      </c>
      <c r="L52" s="3" t="inlineStr"/>
      <c r="M52" s="3" t="inlineStr"/>
      <c r="N52" s="3" t="inlineStr"/>
      <c r="O52" s="3" t="inlineStr"/>
    </row>
    <row r="53">
      <c r="A53" s="3" t="inlineStr">
        <is>
          <t>BPMS-085</t>
        </is>
      </c>
      <c r="B53" s="3" t="inlineStr">
        <is>
          <t>WORK</t>
        </is>
      </c>
      <c r="C53" s="3" t="inlineStr">
        <is>
          <t>Work items, assignment strategies, manager chain, DoA matrix, quorum, per-group</t>
        </is>
      </c>
      <c r="D53" s="3" t="inlineStr">
        <is>
          <t>P0</t>
        </is>
      </c>
      <c r="E53" s="3" t="inlineStr">
        <is>
          <t>R2</t>
        </is>
      </c>
      <c r="F53" s="3" t="inlineStr">
        <is>
          <t>Backend</t>
        </is>
      </c>
      <c r="G53" s="3" t="inlineStr">
        <is>
          <t>FR-E04/E05, FX-D01/D02, FX-E01</t>
        </is>
      </c>
      <c r="H53" s="3" t="inlineStr">
        <is>
          <t>T01 passes</t>
        </is>
      </c>
      <c r="I53" s="3" t="inlineStr">
        <is>
          <t>L</t>
        </is>
      </c>
      <c r="J53" s="3" t="inlineStr">
        <is>
          <t>BPMS-082,023</t>
        </is>
      </c>
      <c r="K53" s="3" t="inlineStr">
        <is>
          <t>Not started</t>
        </is>
      </c>
      <c r="L53" s="3" t="inlineStr"/>
      <c r="M53" s="3" t="inlineStr"/>
      <c r="N53" s="3" t="inlineStr"/>
      <c r="O53" s="3" t="inlineStr"/>
    </row>
    <row r="54">
      <c r="A54" s="3" t="inlineStr">
        <is>
          <t>BPMS-086</t>
        </is>
      </c>
      <c r="B54" s="3" t="inlineStr">
        <is>
          <t>WORK</t>
        </is>
      </c>
      <c r="C54" s="3" t="inlineStr">
        <is>
          <t>Delegation, OOO substitution, SoD re-check, send-back</t>
        </is>
      </c>
      <c r="D54" s="3" t="inlineStr">
        <is>
          <t>P0</t>
        </is>
      </c>
      <c r="E54" s="3" t="inlineStr">
        <is>
          <t>R2</t>
        </is>
      </c>
      <c r="F54" s="3" t="inlineStr">
        <is>
          <t>Backend</t>
        </is>
      </c>
      <c r="G54" s="3" t="inlineStr">
        <is>
          <t>12 §9/§10, FX-E05</t>
        </is>
      </c>
      <c r="H54" s="3" t="inlineStr">
        <is>
          <t>T05 passes</t>
        </is>
      </c>
      <c r="I54" s="3" t="inlineStr">
        <is>
          <t>M</t>
        </is>
      </c>
      <c r="J54" s="3" t="inlineStr">
        <is>
          <t>BPMS-085</t>
        </is>
      </c>
      <c r="K54" s="3" t="inlineStr">
        <is>
          <t>Not started</t>
        </is>
      </c>
      <c r="L54" s="3" t="inlineStr"/>
      <c r="M54" s="3" t="inlineStr"/>
      <c r="N54" s="3" t="inlineStr"/>
      <c r="O54" s="3" t="inlineStr"/>
    </row>
    <row r="55">
      <c r="A55" s="3" t="inlineStr">
        <is>
          <t>BPMS-087</t>
        </is>
      </c>
      <c r="B55" s="3" t="inlineStr">
        <is>
          <t>RT</t>
        </is>
      </c>
      <c r="C55" s="3" t="inlineStr">
        <is>
          <t>Rule tables (UNIQUE/FIRST/COLLECT)</t>
        </is>
      </c>
      <c r="D55" s="3" t="inlineStr">
        <is>
          <t>P0</t>
        </is>
      </c>
      <c r="E55" s="3" t="inlineStr">
        <is>
          <t>R2</t>
        </is>
      </c>
      <c r="F55" s="3" t="inlineStr">
        <is>
          <t>Runtime</t>
        </is>
      </c>
      <c r="G55" s="3" t="inlineStr">
        <is>
          <t>FR-E10</t>
        </is>
      </c>
      <c r="H55" s="3" t="inlineStr">
        <is>
          <t>Deterministic</t>
        </is>
      </c>
      <c r="I55" s="3" t="inlineStr">
        <is>
          <t>M</t>
        </is>
      </c>
      <c r="J55" s="3" t="inlineStr">
        <is>
          <t>BPMS-081</t>
        </is>
      </c>
      <c r="K55" s="3" t="inlineStr">
        <is>
          <t>Not started</t>
        </is>
      </c>
      <c r="L55" s="3" t="inlineStr"/>
      <c r="M55" s="3" t="inlineStr"/>
      <c r="N55" s="3" t="inlineStr"/>
      <c r="O55" s="3" t="inlineStr"/>
    </row>
    <row r="56">
      <c r="A56" s="3" t="inlineStr">
        <is>
          <t>BPMS-088</t>
        </is>
      </c>
      <c r="B56" s="3" t="inlineStr">
        <is>
          <t>RT</t>
        </is>
      </c>
      <c r="C56" s="3" t="inlineStr">
        <is>
          <t>Incidents, retry/skip/cancel, instance admin ops</t>
        </is>
      </c>
      <c r="D56" s="3" t="inlineStr">
        <is>
          <t>P0</t>
        </is>
      </c>
      <c r="E56" s="3" t="inlineStr">
        <is>
          <t>R2</t>
        </is>
      </c>
      <c r="F56" s="3" t="inlineStr">
        <is>
          <t>Backend</t>
        </is>
      </c>
      <c r="G56" s="3" t="inlineStr">
        <is>
          <t>FR-E13</t>
        </is>
      </c>
      <c r="H56" s="3" t="inlineStr">
        <is>
          <t>One open incident per failure</t>
        </is>
      </c>
      <c r="I56" s="3" t="inlineStr">
        <is>
          <t>M</t>
        </is>
      </c>
      <c r="J56" s="3" t="inlineStr">
        <is>
          <t>BPMS-082</t>
        </is>
      </c>
      <c r="K56" s="3" t="inlineStr">
        <is>
          <t>Not started</t>
        </is>
      </c>
      <c r="L56" s="3" t="inlineStr"/>
      <c r="M56" s="3" t="inlineStr"/>
      <c r="N56" s="3" t="inlineStr"/>
      <c r="O56" s="3" t="inlineStr"/>
    </row>
    <row r="57">
      <c r="A57" s="3" t="inlineStr">
        <is>
          <t>BPMS-089</t>
        </is>
      </c>
      <c r="B57" s="3" t="inlineStr">
        <is>
          <t>QA</t>
        </is>
      </c>
      <c r="C57" s="3" t="inlineStr">
        <is>
          <t>Conformance suite + model-based tests + deterministic simulation harness</t>
        </is>
      </c>
      <c r="D57" s="3" t="inlineStr">
        <is>
          <t>P0</t>
        </is>
      </c>
      <c r="E57" s="3" t="inlineStr">
        <is>
          <t>R2</t>
        </is>
      </c>
      <c r="F57" s="3" t="inlineStr">
        <is>
          <t>SDET/Runtime</t>
        </is>
      </c>
      <c r="G57" s="3" t="inlineStr">
        <is>
          <t>15 §4–6</t>
        </is>
      </c>
      <c r="H57" s="3" t="inlineStr">
        <is>
          <t>Nightly chaos green</t>
        </is>
      </c>
      <c r="I57" s="3" t="inlineStr">
        <is>
          <t>L</t>
        </is>
      </c>
      <c r="J57" s="3" t="inlineStr">
        <is>
          <t>BPMS-082</t>
        </is>
      </c>
      <c r="K57" s="3" t="inlineStr">
        <is>
          <t>Not started</t>
        </is>
      </c>
      <c r="L57" s="3" t="inlineStr"/>
      <c r="M57" s="3" t="inlineStr"/>
      <c r="N57" s="3" t="inlineStr"/>
      <c r="O57" s="3" t="inlineStr"/>
    </row>
    <row r="58">
      <c r="A58" s="3" t="inlineStr">
        <is>
          <t>BPMS-100</t>
        </is>
      </c>
      <c r="B58" s="3" t="inlineStr">
        <is>
          <t>DES</t>
        </is>
      </c>
      <c r="C58" s="3" t="inlineStr">
        <is>
          <t>Step builder + React Flow canvas + properties + validate/test-run/review/publish</t>
        </is>
      </c>
      <c r="D58" s="3" t="inlineStr">
        <is>
          <t>P0</t>
        </is>
      </c>
      <c r="E58" s="3" t="inlineStr">
        <is>
          <t>R2</t>
        </is>
      </c>
      <c r="F58" s="3" t="inlineStr">
        <is>
          <t>FE</t>
        </is>
      </c>
      <c r="G58" s="3" t="inlineStr">
        <is>
          <t>FR-E01/E11, ADR-0018</t>
        </is>
      </c>
      <c r="H58" s="3" t="inlineStr">
        <is>
          <t>T10 keyboard-only</t>
        </is>
      </c>
      <c r="I58" s="3" t="inlineStr">
        <is>
          <t>XL</t>
        </is>
      </c>
      <c r="J58" s="3" t="inlineStr">
        <is>
          <t>BPMS-080</t>
        </is>
      </c>
      <c r="K58" s="3" t="inlineStr">
        <is>
          <t>Not started</t>
        </is>
      </c>
      <c r="L58" s="3" t="inlineStr"/>
      <c r="M58" s="3" t="inlineStr"/>
      <c r="N58" s="3" t="inlineStr"/>
      <c r="O58" s="3" t="inlineStr"/>
    </row>
    <row r="59">
      <c r="A59" s="3" t="inlineStr">
        <is>
          <t>BPMS-101</t>
        </is>
      </c>
      <c r="B59" s="3" t="inlineStr">
        <is>
          <t>FORM</t>
        </is>
      </c>
      <c r="C59" s="3" t="inlineStr">
        <is>
          <t>Form builder + renderer (calc, prefill, repeating, lookups, PDF of submission)</t>
        </is>
      </c>
      <c r="D59" s="3" t="inlineStr">
        <is>
          <t>P0</t>
        </is>
      </c>
      <c r="E59" s="3" t="inlineStr">
        <is>
          <t>R2</t>
        </is>
      </c>
      <c r="F59" s="3" t="inlineStr">
        <is>
          <t>FE</t>
        </is>
      </c>
      <c r="G59" s="3" t="inlineStr">
        <is>
          <t>FR-E03, FX-F01–F04</t>
        </is>
      </c>
      <c r="H59" s="3" t="inlineStr">
        <is>
          <t>Server = client validation</t>
        </is>
      </c>
      <c r="I59" s="3" t="inlineStr">
        <is>
          <t>XL</t>
        </is>
      </c>
      <c r="J59" s="3" t="inlineStr">
        <is>
          <t>BPMS-081</t>
        </is>
      </c>
      <c r="K59" s="3" t="inlineStr">
        <is>
          <t>Not started</t>
        </is>
      </c>
      <c r="L59" s="3" t="inlineStr"/>
      <c r="M59" s="3" t="inlineStr"/>
      <c r="N59" s="3" t="inlineStr"/>
      <c r="O59" s="3" t="inlineStr"/>
    </row>
    <row r="60">
      <c r="A60" s="3" t="inlineStr">
        <is>
          <t>BPMS-103</t>
        </is>
      </c>
      <c r="B60" s="3" t="inlineStr">
        <is>
          <t>REQ</t>
        </is>
      </c>
      <c r="C60" s="3" t="inlineStr">
        <is>
          <t>Request portal/catalogue, start form, request detail, comments/@mentions/watchers</t>
        </is>
      </c>
      <c r="D60" s="3" t="inlineStr">
        <is>
          <t>P0</t>
        </is>
      </c>
      <c r="E60" s="3" t="inlineStr">
        <is>
          <t>R2</t>
        </is>
      </c>
      <c r="F60" s="3" t="inlineStr">
        <is>
          <t>Fullstack</t>
        </is>
      </c>
      <c r="G60" s="3" t="inlineStr">
        <is>
          <t>FR-R01/R02, FX-R01/R02</t>
        </is>
      </c>
      <c r="H60" s="3" t="inlineStr">
        <is>
          <t>J0/J3 pass</t>
        </is>
      </c>
      <c r="I60" s="3" t="inlineStr">
        <is>
          <t>L</t>
        </is>
      </c>
      <c r="J60" s="3" t="inlineStr">
        <is>
          <t>BPMS-082</t>
        </is>
      </c>
      <c r="K60" s="3" t="inlineStr">
        <is>
          <t>Not started</t>
        </is>
      </c>
      <c r="L60" s="3" t="inlineStr"/>
      <c r="M60" s="3" t="inlineStr"/>
      <c r="N60" s="3" t="inlineStr"/>
      <c r="O60" s="3" t="inlineStr"/>
    </row>
    <row r="61">
      <c r="A61" s="3" t="inlineStr">
        <is>
          <t>BPMS-105</t>
        </is>
      </c>
      <c r="B61" s="3" t="inlineStr">
        <is>
          <t>WORK</t>
        </is>
      </c>
      <c r="C61" s="3" t="inlineStr">
        <is>
          <t>My Work 3-pane inbox (tasks, acks, signatures), bulk with preview</t>
        </is>
      </c>
      <c r="D61" s="3" t="inlineStr">
        <is>
          <t>P0</t>
        </is>
      </c>
      <c r="E61" s="3" t="inlineStr">
        <is>
          <t>R2</t>
        </is>
      </c>
      <c r="F61" s="3" t="inlineStr">
        <is>
          <t>FE</t>
        </is>
      </c>
      <c r="G61" s="3" t="inlineStr">
        <is>
          <t>FR-R03, FR-AK02</t>
        </is>
      </c>
      <c r="H61" s="3" t="inlineStr">
        <is>
          <t>Decision ≤3 interactions</t>
        </is>
      </c>
      <c r="I61" s="3" t="inlineStr">
        <is>
          <t>L</t>
        </is>
      </c>
      <c r="J61" s="3" t="inlineStr">
        <is>
          <t>BPMS-085,046</t>
        </is>
      </c>
      <c r="K61" s="3" t="inlineStr">
        <is>
          <t>Not started</t>
        </is>
      </c>
      <c r="L61" s="3" t="inlineStr"/>
      <c r="M61" s="3" t="inlineStr"/>
      <c r="N61" s="3" t="inlineStr"/>
      <c r="O61" s="3" t="inlineStr"/>
    </row>
    <row r="62">
      <c r="A62" s="3" t="inlineStr">
        <is>
          <t>BPMS-106</t>
        </is>
      </c>
      <c r="B62" s="3" t="inlineStr">
        <is>
          <t>TPL</t>
        </is>
      </c>
      <c r="C62" s="3" t="inlineStr">
        <is>
          <t>Template gallery + install wizard + Wave-1 templates (13)</t>
        </is>
      </c>
      <c r="D62" s="3" t="inlineStr">
        <is>
          <t>P0</t>
        </is>
      </c>
      <c r="E62" s="3" t="inlineStr">
        <is>
          <t>R2</t>
        </is>
      </c>
      <c r="F62" s="3" t="inlineStr">
        <is>
          <t>Fullstack/SMEs</t>
        </is>
      </c>
      <c r="G62" s="3" t="inlineStr">
        <is>
          <t>FR-G08, TPL-001..</t>
        </is>
      </c>
      <c r="H62" s="3" t="inlineStr">
        <is>
          <t>All W1 test-run green</t>
        </is>
      </c>
      <c r="I62" s="3" t="inlineStr">
        <is>
          <t>XL</t>
        </is>
      </c>
      <c r="J62" s="3" t="inlineStr">
        <is>
          <t>BPMS-100,101</t>
        </is>
      </c>
      <c r="K62" s="3" t="inlineStr">
        <is>
          <t>Not started</t>
        </is>
      </c>
      <c r="L62" s="3" t="inlineStr"/>
      <c r="M62" s="3" t="inlineStr"/>
      <c r="N62" s="3" t="inlineStr"/>
      <c r="O62" s="3" t="inlineStr"/>
    </row>
    <row r="63">
      <c r="A63" s="3" t="inlineStr">
        <is>
          <t>BPMS-111</t>
        </is>
      </c>
      <c r="B63" s="3" t="inlineStr">
        <is>
          <t>E2E</t>
        </is>
      </c>
      <c r="C63" s="3" t="inlineStr">
        <is>
          <t>E2E-R2 pack (R2-01…16 + ISO) + Firefox</t>
        </is>
      </c>
      <c r="D63" s="3" t="inlineStr">
        <is>
          <t>P0</t>
        </is>
      </c>
      <c r="E63" s="3" t="inlineStr">
        <is>
          <t>R2</t>
        </is>
      </c>
      <c r="F63" s="3" t="inlineStr">
        <is>
          <t>SDET + feature owners</t>
        </is>
      </c>
      <c r="G63" s="3" t="inlineStr">
        <is>
          <t>23 §5</t>
        </is>
      </c>
      <c r="H63" s="3" t="inlineStr">
        <is>
          <t>Green; race/restart/timer stable</t>
        </is>
      </c>
      <c r="I63" s="3" t="inlineStr">
        <is>
          <t>L</t>
        </is>
      </c>
      <c r="J63" s="3" t="inlineStr">
        <is>
          <t>BPMS-032</t>
        </is>
      </c>
      <c r="K63" s="3" t="inlineStr">
        <is>
          <t>Not started</t>
        </is>
      </c>
      <c r="L63" s="3" t="inlineStr"/>
      <c r="M63" s="3" t="inlineStr"/>
      <c r="N63" s="3" t="inlineStr"/>
      <c r="O63" s="3" t="inlineStr"/>
    </row>
    <row r="64">
      <c r="A64" s="3" t="inlineStr">
        <is>
          <t>BPMS-121</t>
        </is>
      </c>
      <c r="B64" s="3" t="inlineStr">
        <is>
          <t>UX</t>
        </is>
      </c>
      <c r="C64" s="3" t="inlineStr">
        <is>
          <t>Usability round + SUS measurement + fixes</t>
        </is>
      </c>
      <c r="D64" s="3" t="inlineStr">
        <is>
          <t>P0</t>
        </is>
      </c>
      <c r="E64" s="3" t="inlineStr">
        <is>
          <t>R2</t>
        </is>
      </c>
      <c r="F64" s="3" t="inlineStr">
        <is>
          <t>Design</t>
        </is>
      </c>
      <c r="G64" s="3" t="inlineStr">
        <is>
          <t>02 §9</t>
        </is>
      </c>
      <c r="H64" s="3" t="inlineStr">
        <is>
          <t>SUS targets</t>
        </is>
      </c>
      <c r="I64" s="3" t="inlineStr">
        <is>
          <t>M</t>
        </is>
      </c>
      <c r="J64" s="3" t="inlineStr">
        <is>
          <t>BPMS-120</t>
        </is>
      </c>
      <c r="K64" s="3" t="inlineStr">
        <is>
          <t>Not started</t>
        </is>
      </c>
      <c r="L64" s="3" t="inlineStr"/>
      <c r="M64" s="3" t="inlineStr"/>
      <c r="N64" s="3" t="inlineStr"/>
      <c r="O64" s="3" t="inlineStr"/>
    </row>
    <row r="65">
      <c r="A65" s="3" t="inlineStr">
        <is>
          <t>BPMS-066</t>
        </is>
      </c>
      <c r="B65" s="3" t="inlineStr">
        <is>
          <t>AUD</t>
        </is>
      </c>
      <c r="C65" s="3" t="inlineStr">
        <is>
          <t>Retention policy per record class (policy only)</t>
        </is>
      </c>
      <c r="D65" s="3" t="inlineStr">
        <is>
          <t>P0</t>
        </is>
      </c>
      <c r="E65" s="3" t="inlineStr">
        <is>
          <t>R3</t>
        </is>
      </c>
      <c r="F65" s="3" t="inlineStr">
        <is>
          <t>Backend</t>
        </is>
      </c>
      <c r="G65" s="3" t="inlineStr">
        <is>
          <t>PRV-04</t>
        </is>
      </c>
      <c r="H65" s="3" t="inlineStr">
        <is>
          <t>Jobs honour classes</t>
        </is>
      </c>
      <c r="I65" s="3" t="inlineStr">
        <is>
          <t>M</t>
        </is>
      </c>
      <c r="J65" s="3" t="inlineStr">
        <is>
          <t>BPMS-026</t>
        </is>
      </c>
      <c r="K65" s="3" t="inlineStr">
        <is>
          <t>Not started</t>
        </is>
      </c>
      <c r="L65" s="3" t="inlineStr"/>
      <c r="M65" s="3" t="inlineStr"/>
      <c r="N65" s="3" t="inlineStr"/>
      <c r="O65" s="3" t="inlineStr"/>
    </row>
    <row r="66">
      <c r="A66" s="3" t="inlineStr">
        <is>
          <t>BPMS-102</t>
        </is>
      </c>
      <c r="B66" s="3" t="inlineStr">
        <is>
          <t>DATA</t>
        </is>
      </c>
      <c r="C66" s="3" t="inlineStr">
        <is>
          <t>Master-data tables (CSV import, lookups, versioned)</t>
        </is>
      </c>
      <c r="D66" s="3" t="inlineStr">
        <is>
          <t>P0</t>
        </is>
      </c>
      <c r="E66" s="3" t="inlineStr">
        <is>
          <t>R3</t>
        </is>
      </c>
      <c r="F66" s="3" t="inlineStr">
        <is>
          <t>Fullstack</t>
        </is>
      </c>
      <c r="G66" s="3" t="inlineStr">
        <is>
          <t>FX-E02</t>
        </is>
      </c>
      <c r="H66" s="3" t="inlineStr">
        <is>
          <t>Cascading dropdowns</t>
        </is>
      </c>
      <c r="I66" s="3" t="inlineStr">
        <is>
          <t>M</t>
        </is>
      </c>
      <c r="J66" s="3" t="inlineStr">
        <is>
          <t>BPMS-101</t>
        </is>
      </c>
      <c r="K66" s="3" t="inlineStr">
        <is>
          <t>Not started</t>
        </is>
      </c>
      <c r="L66" s="3" t="inlineStr"/>
      <c r="M66" s="3" t="inlineStr"/>
      <c r="N66" s="3" t="inlineStr"/>
      <c r="O66" s="3" t="inlineStr"/>
    </row>
    <row r="67">
      <c r="A67" s="3" t="inlineStr">
        <is>
          <t>BPMS-104</t>
        </is>
      </c>
      <c r="B67" s="3" t="inlineStr">
        <is>
          <t>REQ</t>
        </is>
      </c>
      <c r="C67" s="3" t="inlineStr">
        <is>
          <t>Recall/withdraw, edit-after-submit, request-on-behalf, numbering</t>
        </is>
      </c>
      <c r="D67" s="3" t="inlineStr">
        <is>
          <t>P0</t>
        </is>
      </c>
      <c r="E67" s="3" t="inlineStr">
        <is>
          <t>R3</t>
        </is>
      </c>
      <c r="F67" s="3" t="inlineStr">
        <is>
          <t>Backend</t>
        </is>
      </c>
      <c r="G67" s="3" t="inlineStr">
        <is>
          <t>FX-E03/E04/E06</t>
        </is>
      </c>
      <c r="H67" s="3" t="inlineStr">
        <is>
          <t>Audited</t>
        </is>
      </c>
      <c r="I67" s="3" t="inlineStr">
        <is>
          <t>M</t>
        </is>
      </c>
      <c r="J67" s="3" t="inlineStr">
        <is>
          <t>BPMS-103</t>
        </is>
      </c>
      <c r="K67" s="3" t="inlineStr">
        <is>
          <t>Not started</t>
        </is>
      </c>
      <c r="L67" s="3" t="inlineStr"/>
      <c r="M67" s="3" t="inlineStr"/>
      <c r="N67" s="3" t="inlineStr"/>
      <c r="O67" s="3" t="inlineStr"/>
    </row>
    <row r="68">
      <c r="A68" s="3" t="inlineStr">
        <is>
          <t>BPMS-107</t>
        </is>
      </c>
      <c r="B68" s="3" t="inlineStr">
        <is>
          <t>SIGN</t>
        </is>
      </c>
      <c r="C68" s="3" t="inlineStr">
        <is>
          <t>E-sign v1: PDF, recipients/roles, routing, bulk, fields, consent step, ceremony, certificate</t>
        </is>
      </c>
      <c r="D68" s="3" t="inlineStr">
        <is>
          <t>P0</t>
        </is>
      </c>
      <c r="E68" s="3" t="inlineStr">
        <is>
          <t>R3</t>
        </is>
      </c>
      <c r="F68" s="3" t="inlineStr">
        <is>
          <t>Fullstack</t>
        </is>
      </c>
      <c r="G68" s="3" t="inlineStr">
        <is>
          <t>FR-DS01–07, FX-S01/02/05/06/07</t>
        </is>
      </c>
      <c r="H68" s="3" t="inlineStr">
        <is>
          <t>J13 passes</t>
        </is>
      </c>
      <c r="I68" s="3" t="inlineStr">
        <is>
          <t>XL</t>
        </is>
      </c>
      <c r="J68" s="3" t="inlineStr">
        <is>
          <t>BPMS-046,060</t>
        </is>
      </c>
      <c r="K68" s="3" t="inlineStr">
        <is>
          <t>Not started</t>
        </is>
      </c>
      <c r="L68" s="3" t="inlineStr"/>
      <c r="M68" s="3" t="inlineStr"/>
      <c r="N68" s="3" t="inlineStr"/>
      <c r="O68" s="3" t="inlineStr"/>
    </row>
    <row r="69">
      <c r="A69" s="3" t="inlineStr">
        <is>
          <t>BPMS-108</t>
        </is>
      </c>
      <c r="B69" s="3" t="inlineStr">
        <is>
          <t>ADMIN</t>
        </is>
      </c>
      <c r="C69" s="3" t="inlineStr">
        <is>
          <t>All requests / all work / workload / process health / ops monitor</t>
        </is>
      </c>
      <c r="D69" s="3" t="inlineStr">
        <is>
          <t>P0</t>
        </is>
      </c>
      <c r="E69" s="3" t="inlineStr">
        <is>
          <t>R3</t>
        </is>
      </c>
      <c r="F69" s="3" t="inlineStr">
        <is>
          <t>FE</t>
        </is>
      </c>
      <c r="G69" s="3" t="inlineStr">
        <is>
          <t>FR-A02–A05</t>
        </is>
      </c>
      <c r="H69" s="3" t="inlineStr">
        <is>
          <t>Bulk audited</t>
        </is>
      </c>
      <c r="I69" s="3" t="inlineStr">
        <is>
          <t>L</t>
        </is>
      </c>
      <c r="J69" s="3" t="inlineStr">
        <is>
          <t>BPMS-063,085</t>
        </is>
      </c>
      <c r="K69" s="3" t="inlineStr">
        <is>
          <t>Not started</t>
        </is>
      </c>
      <c r="L69" s="3" t="inlineStr"/>
      <c r="M69" s="3" t="inlineStr"/>
      <c r="N69" s="3" t="inlineStr"/>
      <c r="O69" s="3" t="inlineStr"/>
    </row>
    <row r="70">
      <c r="A70" s="3" t="inlineStr">
        <is>
          <t>BPMS-109</t>
        </is>
      </c>
      <c r="B70" s="3" t="inlineStr">
        <is>
          <t>UX</t>
        </is>
      </c>
      <c r="C70" s="3" t="inlineStr">
        <is>
          <t>PWA (360px) for My Work, requests, acks, signing</t>
        </is>
      </c>
      <c r="D70" s="3" t="inlineStr">
        <is>
          <t>P0</t>
        </is>
      </c>
      <c r="E70" s="3" t="inlineStr">
        <is>
          <t>R3</t>
        </is>
      </c>
      <c r="F70" s="3" t="inlineStr">
        <is>
          <t>FE</t>
        </is>
      </c>
      <c r="G70" s="3" t="inlineStr">
        <is>
          <t>FR-P07</t>
        </is>
      </c>
      <c r="H70" s="3" t="inlineStr">
        <is>
          <t>Lighthouse PWA pass</t>
        </is>
      </c>
      <c r="I70" s="3" t="inlineStr">
        <is>
          <t>M</t>
        </is>
      </c>
      <c r="J70" s="3" t="inlineStr">
        <is>
          <t>BPMS-105</t>
        </is>
      </c>
      <c r="K70" s="3" t="inlineStr">
        <is>
          <t>Not started</t>
        </is>
      </c>
      <c r="L70" s="3" t="inlineStr"/>
      <c r="M70" s="3" t="inlineStr"/>
      <c r="N70" s="3" t="inlineStr"/>
      <c r="O70" s="3" t="inlineStr"/>
    </row>
    <row r="71">
      <c r="A71" s="3" t="inlineStr">
        <is>
          <t>BPMS-110</t>
        </is>
      </c>
      <c r="B71" s="3" t="inlineStr">
        <is>
          <t>LIB</t>
        </is>
      </c>
      <c r="C71" s="3" t="inlineStr">
        <is>
          <t>BPMN 2.0 XML import (subset) + compatibility report</t>
        </is>
      </c>
      <c r="D71" s="3" t="inlineStr">
        <is>
          <t>P0</t>
        </is>
      </c>
      <c r="E71" s="3" t="inlineStr">
        <is>
          <t>R3</t>
        </is>
      </c>
      <c r="F71" s="3" t="inlineStr">
        <is>
          <t>Runtime</t>
        </is>
      </c>
      <c r="G71" s="3" t="inlineStr">
        <is>
          <t>FR-G09, SP-06</t>
        </is>
      </c>
      <c r="H71" s="3" t="inlineStr">
        <is>
          <t>Unsupported listed</t>
        </is>
      </c>
      <c r="I71" s="3" t="inlineStr">
        <is>
          <t>M</t>
        </is>
      </c>
      <c r="J71" s="3" t="inlineStr">
        <is>
          <t>BPMS-080</t>
        </is>
      </c>
      <c r="K71" s="3" t="inlineStr">
        <is>
          <t>Not started</t>
        </is>
      </c>
      <c r="L71" s="3" t="inlineStr"/>
      <c r="M71" s="3" t="inlineStr"/>
      <c r="N71" s="3" t="inlineStr"/>
      <c r="O71" s="3" t="inlineStr"/>
    </row>
    <row r="72">
      <c r="A72" s="3" t="inlineStr">
        <is>
          <t>BPMS-112</t>
        </is>
      </c>
      <c r="B72" s="3" t="inlineStr">
        <is>
          <t>E2E</t>
        </is>
      </c>
      <c r="C72" s="3" t="inlineStr">
        <is>
          <t>E2E-R3 pack (R3-01…12 + MOB + ISO) + WebKit</t>
        </is>
      </c>
      <c r="D72" s="3" t="inlineStr">
        <is>
          <t>P0</t>
        </is>
      </c>
      <c r="E72" s="3" t="inlineStr">
        <is>
          <t>R3</t>
        </is>
      </c>
      <c r="F72" s="3" t="inlineStr">
        <is>
          <t>SDET + feature owners</t>
        </is>
      </c>
      <c r="G72" s="3" t="inlineStr">
        <is>
          <t>23 §5</t>
        </is>
      </c>
      <c r="H72" s="3" t="inlineStr">
        <is>
          <t>Green; bulk-sign 1000</t>
        </is>
      </c>
      <c r="I72" s="3" t="inlineStr">
        <is>
          <t>L</t>
        </is>
      </c>
      <c r="J72" s="3" t="inlineStr">
        <is>
          <t>BPMS-111</t>
        </is>
      </c>
      <c r="K72" s="3" t="inlineStr">
        <is>
          <t>Not started</t>
        </is>
      </c>
      <c r="L72" s="3" t="inlineStr"/>
      <c r="M72" s="3" t="inlineStr"/>
      <c r="N72" s="3" t="inlineStr"/>
      <c r="O72" s="3" t="inlineStr"/>
    </row>
    <row r="73">
      <c r="A73" s="3" t="inlineStr">
        <is>
          <t>BPMS-140</t>
        </is>
      </c>
      <c r="B73" s="3" t="inlineStr">
        <is>
          <t>IAM</t>
        </is>
      </c>
      <c r="C73" s="3" t="inlineStr">
        <is>
          <t>OIDC SSO, SAML-broker, SSO enforcement, JIT</t>
        </is>
      </c>
      <c r="D73" s="3" t="inlineStr">
        <is>
          <t>P1</t>
        </is>
      </c>
      <c r="E73" s="3" t="inlineStr">
        <is>
          <t>R4</t>
        </is>
      </c>
      <c r="F73" s="3" t="inlineStr">
        <is>
          <t>Platform</t>
        </is>
      </c>
      <c r="G73" s="3" t="inlineStr">
        <is>
          <t>FR-P02, INT-001/002</t>
        </is>
      </c>
      <c r="H73" s="3" t="inlineStr">
        <is>
          <t>Deprovision test</t>
        </is>
      </c>
      <c r="I73" s="3" t="inlineStr">
        <is>
          <t>L</t>
        </is>
      </c>
      <c r="J73" s="3" t="inlineStr"/>
      <c r="K73" s="3" t="inlineStr">
        <is>
          <t>Not started</t>
        </is>
      </c>
      <c r="L73" s="3" t="inlineStr"/>
      <c r="M73" s="3" t="inlineStr"/>
      <c r="N73" s="3" t="inlineStr"/>
      <c r="O73" s="3" t="inlineStr"/>
    </row>
    <row r="74">
      <c r="A74" s="3" t="inlineStr">
        <is>
          <t>BPMS-141</t>
        </is>
      </c>
      <c r="B74" s="3" t="inlineStr">
        <is>
          <t>IAM</t>
        </is>
      </c>
      <c r="C74" s="3" t="inlineStr">
        <is>
          <t>SCIM 2.0 server</t>
        </is>
      </c>
      <c r="D74" s="3" t="inlineStr">
        <is>
          <t>P1</t>
        </is>
      </c>
      <c r="E74" s="3" t="inlineStr">
        <is>
          <t>R4</t>
        </is>
      </c>
      <c r="F74" s="3" t="inlineStr">
        <is>
          <t>Platform</t>
        </is>
      </c>
      <c r="G74" s="3" t="inlineStr">
        <is>
          <t>INT-003</t>
        </is>
      </c>
      <c r="H74" s="3" t="inlineStr">
        <is>
          <t>&lt;5 min deprovision</t>
        </is>
      </c>
      <c r="I74" s="3" t="inlineStr">
        <is>
          <t>M</t>
        </is>
      </c>
      <c r="J74" s="3" t="inlineStr">
        <is>
          <t>BPMS-140</t>
        </is>
      </c>
      <c r="K74" s="3" t="inlineStr">
        <is>
          <t>Not started</t>
        </is>
      </c>
      <c r="L74" s="3" t="inlineStr"/>
      <c r="M74" s="3" t="inlineStr"/>
      <c r="N74" s="3" t="inlineStr"/>
      <c r="O74" s="3" t="inlineStr"/>
    </row>
    <row r="75">
      <c r="A75" s="3" t="inlineStr">
        <is>
          <t>BPMS-142</t>
        </is>
      </c>
      <c r="B75" s="3" t="inlineStr">
        <is>
          <t>IAM</t>
        </is>
      </c>
      <c r="C75" s="3" t="inlineStr">
        <is>
          <t>Scoped/delegated admins; IP allowlists</t>
        </is>
      </c>
      <c r="D75" s="3" t="inlineStr">
        <is>
          <t>P1</t>
        </is>
      </c>
      <c r="E75" s="3" t="inlineStr">
        <is>
          <t>R4</t>
        </is>
      </c>
      <c r="F75" s="3" t="inlineStr">
        <is>
          <t>Platform</t>
        </is>
      </c>
      <c r="G75" s="3" t="inlineStr">
        <is>
          <t>CFG-018, FR-W06</t>
        </is>
      </c>
      <c r="H75" s="3" t="inlineStr">
        <is>
          <t>No escalation</t>
        </is>
      </c>
      <c r="I75" s="3" t="inlineStr">
        <is>
          <t>M</t>
        </is>
      </c>
      <c r="J75" s="3" t="inlineStr">
        <is>
          <t>BPMS-024</t>
        </is>
      </c>
      <c r="K75" s="3" t="inlineStr">
        <is>
          <t>Not started</t>
        </is>
      </c>
      <c r="L75" s="3" t="inlineStr"/>
      <c r="M75" s="3" t="inlineStr"/>
      <c r="N75" s="3" t="inlineStr"/>
      <c r="O75" s="3" t="inlineStr"/>
    </row>
    <row r="76">
      <c r="A76" s="3" t="inlineStr">
        <is>
          <t>BPMS-143</t>
        </is>
      </c>
      <c r="B76" s="3" t="inlineStr">
        <is>
          <t>INT</t>
        </is>
      </c>
      <c r="C76" s="3" t="inlineStr">
        <is>
          <t>Webhooks (Standard Webhooks), HTTP connector via egress proxy, inbound events</t>
        </is>
      </c>
      <c r="D76" s="3" t="inlineStr">
        <is>
          <t>P1</t>
        </is>
      </c>
      <c r="E76" s="3" t="inlineStr">
        <is>
          <t>R4</t>
        </is>
      </c>
      <c r="F76" s="3" t="inlineStr">
        <is>
          <t>Backend</t>
        </is>
      </c>
      <c r="G76" s="3" t="inlineStr">
        <is>
          <t>INT-*, WH/SSRF</t>
        </is>
      </c>
      <c r="H76" s="3" t="inlineStr">
        <is>
          <t>SEC SSRF tests</t>
        </is>
      </c>
      <c r="I76" s="3" t="inlineStr">
        <is>
          <t>L</t>
        </is>
      </c>
      <c r="J76" s="3" t="inlineStr">
        <is>
          <t>BPMS-029</t>
        </is>
      </c>
      <c r="K76" s="3" t="inlineStr">
        <is>
          <t>Not started</t>
        </is>
      </c>
      <c r="L76" s="3" t="inlineStr"/>
      <c r="M76" s="3" t="inlineStr"/>
      <c r="N76" s="3" t="inlineStr"/>
      <c r="O76" s="3" t="inlineStr"/>
    </row>
    <row r="77">
      <c r="A77" s="3" t="inlineStr">
        <is>
          <t>BPMS-144</t>
        </is>
      </c>
      <c r="B77" s="3" t="inlineStr">
        <is>
          <t>INT</t>
        </is>
      </c>
      <c r="C77" s="3" t="inlineStr">
        <is>
          <t>Public API hardening, OpenAPI, CLI, TS/Python SDKs</t>
        </is>
      </c>
      <c r="D77" s="3" t="inlineStr">
        <is>
          <t>P1</t>
        </is>
      </c>
      <c r="E77" s="3" t="inlineStr">
        <is>
          <t>R4</t>
        </is>
      </c>
      <c r="F77" s="3" t="inlineStr">
        <is>
          <t>Backend</t>
        </is>
      </c>
      <c r="G77" s="3" t="inlineStr">
        <is>
          <t>08</t>
        </is>
      </c>
      <c r="H77" s="3" t="inlineStr">
        <is>
          <t>Spec published</t>
        </is>
      </c>
      <c r="I77" s="3" t="inlineStr">
        <is>
          <t>M</t>
        </is>
      </c>
      <c r="J77" s="3" t="inlineStr"/>
      <c r="K77" s="3" t="inlineStr">
        <is>
          <t>Not started</t>
        </is>
      </c>
      <c r="L77" s="3" t="inlineStr"/>
      <c r="M77" s="3" t="inlineStr"/>
      <c r="N77" s="3" t="inlineStr"/>
      <c r="O77" s="3" t="inlineStr"/>
    </row>
    <row r="78">
      <c r="A78" s="3" t="inlineStr">
        <is>
          <t>BPMS-145</t>
        </is>
      </c>
      <c r="B78" s="3" t="inlineStr">
        <is>
          <t>NOTIF</t>
        </is>
      </c>
      <c r="C78" s="3" t="inlineStr">
        <is>
          <t>Email-actionable approvals, reply-by-email, web push</t>
        </is>
      </c>
      <c r="D78" s="3" t="inlineStr">
        <is>
          <t>P1</t>
        </is>
      </c>
      <c r="E78" s="3" t="inlineStr">
        <is>
          <t>R4</t>
        </is>
      </c>
      <c r="F78" s="3" t="inlineStr">
        <is>
          <t>Fullstack</t>
        </is>
      </c>
      <c r="G78" s="3" t="inlineStr">
        <is>
          <t>FR-N03/N05, FX-R03</t>
        </is>
      </c>
      <c r="H78" s="3" t="inlineStr">
        <is>
          <t>Replay rejected</t>
        </is>
      </c>
      <c r="I78" s="3" t="inlineStr">
        <is>
          <t>M</t>
        </is>
      </c>
      <c r="J78" s="3" t="inlineStr">
        <is>
          <t>BPMS-048</t>
        </is>
      </c>
      <c r="K78" s="3" t="inlineStr">
        <is>
          <t>Not started</t>
        </is>
      </c>
      <c r="L78" s="3" t="inlineStr"/>
      <c r="M78" s="3" t="inlineStr"/>
      <c r="N78" s="3" t="inlineStr"/>
      <c r="O78" s="3" t="inlineStr"/>
    </row>
    <row r="79">
      <c r="A79" s="3" t="inlineStr">
        <is>
          <t>BPMS-146</t>
        </is>
      </c>
      <c r="B79" s="3" t="inlineStr">
        <is>
          <t>IAM</t>
        </is>
      </c>
      <c r="C79" s="3" t="inlineStr">
        <is>
          <t>Guests + external signers (magic link + OTP); self-serve signing links</t>
        </is>
      </c>
      <c r="D79" s="3" t="inlineStr">
        <is>
          <t>P1</t>
        </is>
      </c>
      <c r="E79" s="3" t="inlineStr">
        <is>
          <t>R4</t>
        </is>
      </c>
      <c r="F79" s="3" t="inlineStr">
        <is>
          <t>Fullstack</t>
        </is>
      </c>
      <c r="G79" s="3" t="inlineStr">
        <is>
          <t>FR-P08, FX-S10</t>
        </is>
      </c>
      <c r="H79" s="3" t="inlineStr">
        <is>
          <t>Single-use</t>
        </is>
      </c>
      <c r="I79" s="3" t="inlineStr">
        <is>
          <t>M</t>
        </is>
      </c>
      <c r="J79" s="3" t="inlineStr">
        <is>
          <t>BPMS-107</t>
        </is>
      </c>
      <c r="K79" s="3" t="inlineStr">
        <is>
          <t>Not started</t>
        </is>
      </c>
      <c r="L79" s="3" t="inlineStr"/>
      <c r="M79" s="3" t="inlineStr"/>
      <c r="N79" s="3" t="inlineStr"/>
      <c r="O79" s="3" t="inlineStr"/>
    </row>
    <row r="80">
      <c r="A80" s="3" t="inlineStr">
        <is>
          <t>BPMS-147</t>
        </is>
      </c>
      <c r="B80" s="3" t="inlineStr">
        <is>
          <t>SIGN</t>
        </is>
      </c>
      <c r="C80" s="3" t="inlineStr">
        <is>
          <t>E-sign v2: DOCX + merge, anchor tags, conditional fields, delegate, correction, embedded</t>
        </is>
      </c>
      <c r="D80" s="3" t="inlineStr">
        <is>
          <t>P1</t>
        </is>
      </c>
      <c r="E80" s="3" t="inlineStr">
        <is>
          <t>R4</t>
        </is>
      </c>
      <c r="F80" s="3" t="inlineStr">
        <is>
          <t>Fullstack</t>
        </is>
      </c>
      <c r="G80" s="3" t="inlineStr">
        <is>
          <t>FX-S03/04/08/09/12</t>
        </is>
      </c>
      <c r="H80" s="3" t="inlineStr">
        <is>
          <t>Audited corrections</t>
        </is>
      </c>
      <c r="I80" s="3" t="inlineStr">
        <is>
          <t>L</t>
        </is>
      </c>
      <c r="J80" s="3" t="inlineStr">
        <is>
          <t>BPMS-107</t>
        </is>
      </c>
      <c r="K80" s="3" t="inlineStr">
        <is>
          <t>Not started</t>
        </is>
      </c>
      <c r="L80" s="3" t="inlineStr"/>
      <c r="M80" s="3" t="inlineStr"/>
      <c r="N80" s="3" t="inlineStr"/>
      <c r="O80" s="3" t="inlineStr"/>
    </row>
    <row r="81">
      <c r="A81" s="3" t="inlineStr">
        <is>
          <t>BPMS-148</t>
        </is>
      </c>
      <c r="B81" s="3" t="inlineStr">
        <is>
          <t>FORM</t>
        </is>
      </c>
      <c r="C81" s="3" t="inlineStr">
        <is>
          <t>Public forms (privacy CAPTCHA), save &amp; resume, partials, form signature field</t>
        </is>
      </c>
      <c r="D81" s="3" t="inlineStr">
        <is>
          <t>P1</t>
        </is>
      </c>
      <c r="E81" s="3" t="inlineStr">
        <is>
          <t>R4</t>
        </is>
      </c>
      <c r="F81" s="3" t="inlineStr">
        <is>
          <t>Fullstack</t>
        </is>
      </c>
      <c r="G81" s="3" t="inlineStr">
        <is>
          <t>FX-F05–F07</t>
        </is>
      </c>
      <c r="H81" s="3" t="inlineStr">
        <is>
          <t>Rate-limited</t>
        </is>
      </c>
      <c r="I81" s="3" t="inlineStr">
        <is>
          <t>M</t>
        </is>
      </c>
      <c r="J81" s="3" t="inlineStr">
        <is>
          <t>BPMS-101</t>
        </is>
      </c>
      <c r="K81" s="3" t="inlineStr">
        <is>
          <t>Not started</t>
        </is>
      </c>
      <c r="L81" s="3" t="inlineStr"/>
      <c r="M81" s="3" t="inlineStr"/>
      <c r="N81" s="3" t="inlineStr"/>
      <c r="O81" s="3" t="inlineStr"/>
    </row>
    <row r="82">
      <c r="A82" s="3" t="inlineStr">
        <is>
          <t>BPMS-149</t>
        </is>
      </c>
      <c r="B82" s="3" t="inlineStr">
        <is>
          <t>EXEC</t>
        </is>
      </c>
      <c r="C82" s="3" t="inlineStr">
        <is>
          <t>Subprocesses, reusable sub-flows, duplicate detection, bulk import, env promotion</t>
        </is>
      </c>
      <c r="D82" s="3" t="inlineStr">
        <is>
          <t>P1</t>
        </is>
      </c>
      <c r="E82" s="3" t="inlineStr">
        <is>
          <t>R4</t>
        </is>
      </c>
      <c r="F82" s="3" t="inlineStr">
        <is>
          <t>Runtime</t>
        </is>
      </c>
      <c r="G82" s="3" t="inlineStr">
        <is>
          <t>FR-E08, FX-E07–E09, FR-P09</t>
        </is>
      </c>
      <c r="H82" s="3" t="inlineStr">
        <is>
          <t>—</t>
        </is>
      </c>
      <c r="I82" s="3" t="inlineStr">
        <is>
          <t>L</t>
        </is>
      </c>
      <c r="J82" s="3" t="inlineStr">
        <is>
          <t>BPMS-082</t>
        </is>
      </c>
      <c r="K82" s="3" t="inlineStr">
        <is>
          <t>Not started</t>
        </is>
      </c>
      <c r="L82" s="3" t="inlineStr"/>
      <c r="M82" s="3" t="inlineStr"/>
      <c r="N82" s="3" t="inlineStr"/>
      <c r="O82" s="3" t="inlineStr"/>
    </row>
    <row r="83">
      <c r="A83" s="3" t="inlineStr">
        <is>
          <t>BPMS-150</t>
        </is>
      </c>
      <c r="B83" s="3" t="inlineStr">
        <is>
          <t>LIB</t>
        </is>
      </c>
      <c r="C83" s="3" t="inlineStr">
        <is>
          <t>Auto-generated process documentation; policy exceptions; policy templates</t>
        </is>
      </c>
      <c r="D83" s="3" t="inlineStr">
        <is>
          <t>P1</t>
        </is>
      </c>
      <c r="E83" s="3" t="inlineStr">
        <is>
          <t>R4</t>
        </is>
      </c>
      <c r="F83" s="3" t="inlineStr">
        <is>
          <t>Fullstack</t>
        </is>
      </c>
      <c r="G83" s="3" t="inlineStr">
        <is>
          <t>FX-G04, FR-PL04, FX-G03</t>
        </is>
      </c>
      <c r="H83" s="3" t="inlineStr">
        <is>
          <t>—</t>
        </is>
      </c>
      <c r="I83" s="3" t="inlineStr">
        <is>
          <t>M</t>
        </is>
      </c>
      <c r="J83" s="3" t="inlineStr">
        <is>
          <t>BPMS-042</t>
        </is>
      </c>
      <c r="K83" s="3" t="inlineStr">
        <is>
          <t>Not started</t>
        </is>
      </c>
      <c r="L83" s="3" t="inlineStr"/>
      <c r="M83" s="3" t="inlineStr"/>
      <c r="N83" s="3" t="inlineStr"/>
      <c r="O83" s="3" t="inlineStr"/>
    </row>
    <row r="84">
      <c r="A84" s="3" t="inlineStr">
        <is>
          <t>BPMS-151</t>
        </is>
      </c>
      <c r="B84" s="3" t="inlineStr">
        <is>
          <t>COMMS</t>
        </is>
      </c>
      <c r="C84" s="3" t="inlineStr">
        <is>
          <t>Emergency alerts, content validation period, moderation, quiz</t>
        </is>
      </c>
      <c r="D84" s="3" t="inlineStr">
        <is>
          <t>P1</t>
        </is>
      </c>
      <c r="E84" s="3" t="inlineStr">
        <is>
          <t>R4</t>
        </is>
      </c>
      <c r="F84" s="3" t="inlineStr">
        <is>
          <t>Fullstack</t>
        </is>
      </c>
      <c r="G84" s="3" t="inlineStr">
        <is>
          <t>FX-C02–C04</t>
        </is>
      </c>
      <c r="H84" s="3" t="inlineStr">
        <is>
          <t>—</t>
        </is>
      </c>
      <c r="I84" s="3" t="inlineStr">
        <is>
          <t>M</t>
        </is>
      </c>
      <c r="J84" s="3" t="inlineStr">
        <is>
          <t>BPMS-047</t>
        </is>
      </c>
      <c r="K84" s="3" t="inlineStr">
        <is>
          <t>Not started</t>
        </is>
      </c>
      <c r="L84" s="3" t="inlineStr"/>
      <c r="M84" s="3" t="inlineStr"/>
      <c r="N84" s="3" t="inlineStr"/>
      <c r="O84" s="3" t="inlineStr"/>
    </row>
    <row r="85">
      <c r="A85" s="3" t="inlineStr">
        <is>
          <t>BPMS-152</t>
        </is>
      </c>
      <c r="B85" s="3" t="inlineStr">
        <is>
          <t>E2E</t>
        </is>
      </c>
      <c r="C85" s="3" t="inlineStr">
        <is>
          <t>E2E-R4 pack incl. Keycloak, SCIM, webhook receiver</t>
        </is>
      </c>
      <c r="D85" s="3" t="inlineStr">
        <is>
          <t>P1</t>
        </is>
      </c>
      <c r="E85" s="3" t="inlineStr">
        <is>
          <t>R4</t>
        </is>
      </c>
      <c r="F85" s="3" t="inlineStr">
        <is>
          <t>SDET + feature owners</t>
        </is>
      </c>
      <c r="G85" s="3" t="inlineStr">
        <is>
          <t>23 §5</t>
        </is>
      </c>
      <c r="H85" s="3" t="inlineStr">
        <is>
          <t>Green</t>
        </is>
      </c>
      <c r="I85" s="3" t="inlineStr">
        <is>
          <t>L</t>
        </is>
      </c>
      <c r="J85" s="3" t="inlineStr">
        <is>
          <t>BPMS-112</t>
        </is>
      </c>
      <c r="K85" s="3" t="inlineStr">
        <is>
          <t>Not started</t>
        </is>
      </c>
      <c r="L85" s="3" t="inlineStr"/>
      <c r="M85" s="3" t="inlineStr"/>
      <c r="N85" s="3" t="inlineStr"/>
      <c r="O85" s="3" t="inlineStr"/>
    </row>
    <row r="86">
      <c r="A86" s="3" t="inlineStr">
        <is>
          <t>BPMS-160</t>
        </is>
      </c>
      <c r="B86" s="3" t="inlineStr">
        <is>
          <t>CASE</t>
        </is>
      </c>
      <c r="C86" s="3" t="inlineStr">
        <is>
          <t>Case types, queues, macros, SLAs, link/merge, restricted cases</t>
        </is>
      </c>
      <c r="D86" s="3" t="inlineStr">
        <is>
          <t>P1</t>
        </is>
      </c>
      <c r="E86" s="3" t="inlineStr">
        <is>
          <t>R5</t>
        </is>
      </c>
      <c r="F86" s="3" t="inlineStr">
        <is>
          <t>Fullstack</t>
        </is>
      </c>
      <c r="G86" s="3" t="inlineStr">
        <is>
          <t>FR-C01, FX-K01–K06</t>
        </is>
      </c>
      <c r="H86" s="3" t="inlineStr">
        <is>
          <t>J4 passes</t>
        </is>
      </c>
      <c r="I86" s="3" t="inlineStr">
        <is>
          <t>XL</t>
        </is>
      </c>
      <c r="J86" s="3" t="inlineStr">
        <is>
          <t>BPMS-082</t>
        </is>
      </c>
      <c r="K86" s="3" t="inlineStr">
        <is>
          <t>Not started</t>
        </is>
      </c>
      <c r="L86" s="3" t="inlineStr"/>
      <c r="M86" s="3" t="inlineStr"/>
      <c r="N86" s="3" t="inlineStr"/>
      <c r="O86" s="3" t="inlineStr"/>
    </row>
    <row r="87">
      <c r="A87" s="3" t="inlineStr">
        <is>
          <t>BPMS-161</t>
        </is>
      </c>
      <c r="B87" s="3" t="inlineStr">
        <is>
          <t>AUD</t>
        </is>
      </c>
      <c r="C87" s="3" t="inlineStr">
        <is>
          <t>Investigations: pins, legal hold, signed export, conflict-of-interest</t>
        </is>
      </c>
      <c r="D87" s="3" t="inlineStr">
        <is>
          <t>P1</t>
        </is>
      </c>
      <c r="E87" s="3" t="inlineStr">
        <is>
          <t>R5</t>
        </is>
      </c>
      <c r="F87" s="3" t="inlineStr">
        <is>
          <t>Fullstack</t>
        </is>
      </c>
      <c r="G87" s="3" t="inlineStr">
        <is>
          <t>FR-T05/T06, FX-K08, FX-L01</t>
        </is>
      </c>
      <c r="H87" s="3" t="inlineStr">
        <is>
          <t>J10 passes</t>
        </is>
      </c>
      <c r="I87" s="3" t="inlineStr">
        <is>
          <t>L</t>
        </is>
      </c>
      <c r="J87" s="3" t="inlineStr">
        <is>
          <t>BPMS-064,160</t>
        </is>
      </c>
      <c r="K87" s="3" t="inlineStr">
        <is>
          <t>Not started</t>
        </is>
      </c>
      <c r="L87" s="3" t="inlineStr"/>
      <c r="M87" s="3" t="inlineStr"/>
      <c r="N87" s="3" t="inlineStr"/>
      <c r="O87" s="3" t="inlineStr"/>
    </row>
    <row r="88">
      <c r="A88" s="3" t="inlineStr">
        <is>
          <t>BPMS-162</t>
        </is>
      </c>
      <c r="B88" s="3" t="inlineStr">
        <is>
          <t>AUD</t>
        </is>
      </c>
      <c r="C88" s="3" t="inlineStr">
        <is>
          <t>Checkpoints, RFC 3161, WORM export, procera-verify CLI</t>
        </is>
      </c>
      <c r="D88" s="3" t="inlineStr">
        <is>
          <t>P1</t>
        </is>
      </c>
      <c r="E88" s="3" t="inlineStr">
        <is>
          <t>R5</t>
        </is>
      </c>
      <c r="F88" s="3" t="inlineStr">
        <is>
          <t>Platform</t>
        </is>
      </c>
      <c r="G88" s="3" t="inlineStr">
        <is>
          <t>AUD-02–05</t>
        </is>
      </c>
      <c r="H88" s="3" t="inlineStr">
        <is>
          <t>Verifier detects tamper</t>
        </is>
      </c>
      <c r="I88" s="3" t="inlineStr">
        <is>
          <t>M</t>
        </is>
      </c>
      <c r="J88" s="3" t="inlineStr">
        <is>
          <t>BPMS-026</t>
        </is>
      </c>
      <c r="K88" s="3" t="inlineStr">
        <is>
          <t>Not started</t>
        </is>
      </c>
      <c r="L88" s="3" t="inlineStr"/>
      <c r="M88" s="3" t="inlineStr"/>
      <c r="N88" s="3" t="inlineStr"/>
      <c r="O88" s="3" t="inlineStr"/>
    </row>
    <row r="89">
      <c r="A89" s="3" t="inlineStr">
        <is>
          <t>BPMS-163</t>
        </is>
      </c>
      <c r="B89" s="3" t="inlineStr">
        <is>
          <t>GOV</t>
        </is>
      </c>
      <c r="C89" s="3" t="inlineStr">
        <is>
          <t>Attestation campaigns, control mapping, access reviews</t>
        </is>
      </c>
      <c r="D89" s="3" t="inlineStr">
        <is>
          <t>P1</t>
        </is>
      </c>
      <c r="E89" s="3" t="inlineStr">
        <is>
          <t>R5</t>
        </is>
      </c>
      <c r="F89" s="3" t="inlineStr">
        <is>
          <t>Fullstack</t>
        </is>
      </c>
      <c r="G89" s="3" t="inlineStr">
        <is>
          <t>FR-G06, FR-W11</t>
        </is>
      </c>
      <c r="H89" s="3" t="inlineStr">
        <is>
          <t>Evidence export</t>
        </is>
      </c>
      <c r="I89" s="3" t="inlineStr">
        <is>
          <t>M</t>
        </is>
      </c>
      <c r="J89" s="3" t="inlineStr">
        <is>
          <t>BPMS-046</t>
        </is>
      </c>
      <c r="K89" s="3" t="inlineStr">
        <is>
          <t>Not started</t>
        </is>
      </c>
      <c r="L89" s="3" t="inlineStr"/>
      <c r="M89" s="3" t="inlineStr"/>
      <c r="N89" s="3" t="inlineStr"/>
      <c r="O89" s="3" t="inlineStr"/>
    </row>
    <row r="90">
      <c r="A90" s="3" t="inlineStr">
        <is>
          <t>BPMS-164</t>
        </is>
      </c>
      <c r="B90" s="3" t="inlineStr">
        <is>
          <t>GOV</t>
        </is>
      </c>
      <c r="C90" s="3" t="inlineStr">
        <is>
          <t>Retention disposition + certificates, DSAR template, legal hold engine</t>
        </is>
      </c>
      <c r="D90" s="3" t="inlineStr">
        <is>
          <t>P1</t>
        </is>
      </c>
      <c r="E90" s="3" t="inlineStr">
        <is>
          <t>R5</t>
        </is>
      </c>
      <c r="F90" s="3" t="inlineStr">
        <is>
          <t>Backend</t>
        </is>
      </c>
      <c r="G90" s="3" t="inlineStr">
        <is>
          <t>PRV-01/03/04</t>
        </is>
      </c>
      <c r="H90" s="3" t="inlineStr">
        <is>
          <t>Holds block deletion</t>
        </is>
      </c>
      <c r="I90" s="3" t="inlineStr">
        <is>
          <t>M</t>
        </is>
      </c>
      <c r="J90" s="3" t="inlineStr">
        <is>
          <t>BPMS-066</t>
        </is>
      </c>
      <c r="K90" s="3" t="inlineStr">
        <is>
          <t>Not started</t>
        </is>
      </c>
      <c r="L90" s="3" t="inlineStr"/>
      <c r="M90" s="3" t="inlineStr"/>
      <c r="N90" s="3" t="inlineStr"/>
      <c r="O90" s="3" t="inlineStr"/>
    </row>
    <row r="91">
      <c r="A91" s="3" t="inlineStr">
        <is>
          <t>BPMS-165</t>
        </is>
      </c>
      <c r="B91" s="3" t="inlineStr">
        <is>
          <t>SIGN</t>
        </is>
      </c>
      <c r="C91" s="3" t="inlineStr">
        <is>
          <t>Part 11 mode, PAdES-LTV, TSA; in-person/kiosk signing</t>
        </is>
      </c>
      <c r="D91" s="3" t="inlineStr">
        <is>
          <t>P1</t>
        </is>
      </c>
      <c r="E91" s="3" t="inlineStr">
        <is>
          <t>R5</t>
        </is>
      </c>
      <c r="F91" s="3" t="inlineStr">
        <is>
          <t>Fullstack</t>
        </is>
      </c>
      <c r="G91" s="3" t="inlineStr">
        <is>
          <t>ESIG-01–05, FR-DS05, FX-S11</t>
        </is>
      </c>
      <c r="H91" s="3" t="inlineStr">
        <is>
          <t>Verification passes</t>
        </is>
      </c>
      <c r="I91" s="3" t="inlineStr">
        <is>
          <t>L</t>
        </is>
      </c>
      <c r="J91" s="3" t="inlineStr">
        <is>
          <t>BPMS-107</t>
        </is>
      </c>
      <c r="K91" s="3" t="inlineStr">
        <is>
          <t>Not started</t>
        </is>
      </c>
      <c r="L91" s="3" t="inlineStr"/>
      <c r="M91" s="3" t="inlineStr"/>
      <c r="N91" s="3" t="inlineStr"/>
      <c r="O91" s="3" t="inlineStr"/>
    </row>
    <row r="92">
      <c r="A92" s="3" t="inlineStr">
        <is>
          <t>BPMS-166</t>
        </is>
      </c>
      <c r="B92" s="3" t="inlineStr">
        <is>
          <t>ADMIN</t>
        </is>
      </c>
      <c r="C92" s="3" t="inlineStr">
        <is>
          <t>Alert centre, custom dashboards, report builder, scheduled reports, KPI goals, usage analytics, CSAT</t>
        </is>
      </c>
      <c r="D92" s="3" t="inlineStr">
        <is>
          <t>P1</t>
        </is>
      </c>
      <c r="E92" s="3" t="inlineStr">
        <is>
          <t>R5</t>
        </is>
      </c>
      <c r="F92" s="3" t="inlineStr">
        <is>
          <t>Fullstack</t>
        </is>
      </c>
      <c r="G92" s="3" t="inlineStr">
        <is>
          <t>FR-A07–A09, FX-A01–A04, FX-R04</t>
        </is>
      </c>
      <c r="H92" s="3" t="inlineStr">
        <is>
          <t>RLS at run time</t>
        </is>
      </c>
      <c r="I92" s="3" t="inlineStr">
        <is>
          <t>XL</t>
        </is>
      </c>
      <c r="J92" s="3" t="inlineStr">
        <is>
          <t>BPMS-063</t>
        </is>
      </c>
      <c r="K92" s="3" t="inlineStr">
        <is>
          <t>Not started</t>
        </is>
      </c>
      <c r="L92" s="3" t="inlineStr"/>
      <c r="M92" s="3" t="inlineStr"/>
      <c r="N92" s="3" t="inlineStr"/>
      <c r="O92" s="3" t="inlineStr"/>
    </row>
    <row r="93">
      <c r="A93" s="3" t="inlineStr">
        <is>
          <t>BPMS-167</t>
        </is>
      </c>
      <c r="B93" s="3" t="inlineStr">
        <is>
          <t>IAM</t>
        </is>
      </c>
      <c r="C93" s="3" t="inlineStr">
        <is>
          <t>Separation mode; break-glass</t>
        </is>
      </c>
      <c r="D93" s="3" t="inlineStr">
        <is>
          <t>P1</t>
        </is>
      </c>
      <c r="E93" s="3" t="inlineStr">
        <is>
          <t>R5</t>
        </is>
      </c>
      <c r="F93" s="3" t="inlineStr">
        <is>
          <t>Platform</t>
        </is>
      </c>
      <c r="G93" s="3" t="inlineStr">
        <is>
          <t>12 §6.1, FR-S07</t>
        </is>
      </c>
      <c r="H93" s="3" t="inlineStr">
        <is>
          <t>Visible to workspace</t>
        </is>
      </c>
      <c r="I93" s="3" t="inlineStr">
        <is>
          <t>M</t>
        </is>
      </c>
      <c r="J93" s="3" t="inlineStr">
        <is>
          <t>BPMS-024</t>
        </is>
      </c>
      <c r="K93" s="3" t="inlineStr">
        <is>
          <t>Not started</t>
        </is>
      </c>
      <c r="L93" s="3" t="inlineStr"/>
      <c r="M93" s="3" t="inlineStr"/>
      <c r="N93" s="3" t="inlineStr"/>
      <c r="O93" s="3" t="inlineStr"/>
    </row>
    <row r="94">
      <c r="A94" s="3" t="inlineStr">
        <is>
          <t>BPMS-168</t>
        </is>
      </c>
      <c r="B94" s="3" t="inlineStr">
        <is>
          <t>LIB</t>
        </is>
      </c>
      <c r="C94" s="3" t="inlineStr">
        <is>
          <t>Role-based onboarding/training paths</t>
        </is>
      </c>
      <c r="D94" s="3" t="inlineStr">
        <is>
          <t>P1</t>
        </is>
      </c>
      <c r="E94" s="3" t="inlineStr">
        <is>
          <t>R5</t>
        </is>
      </c>
      <c r="F94" s="3" t="inlineStr">
        <is>
          <t>Fullstack</t>
        </is>
      </c>
      <c r="G94" s="3" t="inlineStr">
        <is>
          <t>FX-G07</t>
        </is>
      </c>
      <c r="H94" s="3" t="inlineStr">
        <is>
          <t>Completion reports</t>
        </is>
      </c>
      <c r="I94" s="3" t="inlineStr">
        <is>
          <t>M</t>
        </is>
      </c>
      <c r="J94" s="3" t="inlineStr">
        <is>
          <t>BPMS-046</t>
        </is>
      </c>
      <c r="K94" s="3" t="inlineStr">
        <is>
          <t>Not started</t>
        </is>
      </c>
      <c r="L94" s="3" t="inlineStr"/>
      <c r="M94" s="3" t="inlineStr"/>
      <c r="N94" s="3" t="inlineStr"/>
      <c r="O94" s="3" t="inlineStr"/>
    </row>
    <row r="95">
      <c r="A95" s="3" t="inlineStr">
        <is>
          <t>BPMS-169</t>
        </is>
      </c>
      <c r="B95" s="3" t="inlineStr">
        <is>
          <t>E2E</t>
        </is>
      </c>
      <c r="C95" s="3" t="inlineStr">
        <is>
          <t>E2E-R5 pack incl. investigations, Part 11, break-glass</t>
        </is>
      </c>
      <c r="D95" s="3" t="inlineStr">
        <is>
          <t>P1</t>
        </is>
      </c>
      <c r="E95" s="3" t="inlineStr">
        <is>
          <t>R5</t>
        </is>
      </c>
      <c r="F95" s="3" t="inlineStr">
        <is>
          <t>SDET + feature owners</t>
        </is>
      </c>
      <c r="G95" s="3" t="inlineStr">
        <is>
          <t>23 §5</t>
        </is>
      </c>
      <c r="H95" s="3" t="inlineStr">
        <is>
          <t>Green</t>
        </is>
      </c>
      <c r="I95" s="3" t="inlineStr">
        <is>
          <t>L</t>
        </is>
      </c>
      <c r="J95" s="3" t="inlineStr">
        <is>
          <t>BPMS-152</t>
        </is>
      </c>
      <c r="K95" s="3" t="inlineStr">
        <is>
          <t>Not started</t>
        </is>
      </c>
      <c r="L95" s="3" t="inlineStr"/>
      <c r="M95" s="3" t="inlineStr"/>
      <c r="N95" s="3" t="inlineStr"/>
      <c r="O95" s="3" t="inlineStr"/>
    </row>
    <row r="96">
      <c r="A96" s="3" t="inlineStr">
        <is>
          <t>BPMS-186</t>
        </is>
      </c>
      <c r="B96" s="3" t="inlineStr">
        <is>
          <t>AI</t>
        </is>
      </c>
      <c r="C96" s="3" t="inlineStr">
        <is>
          <t>AI assistance P1 set (drafting, summaries, translate, Q&amp;A) behind kill switch</t>
        </is>
      </c>
      <c r="D96" s="3" t="inlineStr">
        <is>
          <t>P1</t>
        </is>
      </c>
      <c r="E96" s="3" t="inlineStr">
        <is>
          <t>R5</t>
        </is>
      </c>
      <c r="F96" s="3" t="inlineStr">
        <is>
          <t>Fullstack</t>
        </is>
      </c>
      <c r="G96" s="3" t="inlineStr">
        <is>
          <t>16, ADR-0006</t>
        </is>
      </c>
      <c r="H96" s="3" t="inlineStr">
        <is>
          <t>Eval thresholds</t>
        </is>
      </c>
      <c r="I96" s="3" t="inlineStr">
        <is>
          <t>L</t>
        </is>
      </c>
      <c r="J96" s="3" t="inlineStr"/>
      <c r="K96" s="3" t="inlineStr">
        <is>
          <t>Not started</t>
        </is>
      </c>
      <c r="L96" s="3" t="inlineStr"/>
      <c r="M96" s="3" t="inlineStr"/>
      <c r="N96" s="3" t="inlineStr"/>
      <c r="O96" s="3" t="inlineStr"/>
    </row>
    <row r="97">
      <c r="A97" s="3" t="inlineStr">
        <is>
          <t>BPMS-180</t>
        </is>
      </c>
      <c r="B97" s="3" t="inlineStr">
        <is>
          <t>OPS</t>
        </is>
      </c>
      <c r="C97" s="3" t="inlineStr">
        <is>
          <t>Load test at reference load; HA failover; RPO/RTO restore drill</t>
        </is>
      </c>
      <c r="D97" s="3" t="inlineStr">
        <is>
          <t>P1</t>
        </is>
      </c>
      <c r="E97" s="3" t="inlineStr">
        <is>
          <t>GA</t>
        </is>
      </c>
      <c r="F97" s="3" t="inlineStr">
        <is>
          <t>SRE</t>
        </is>
      </c>
      <c r="G97" s="3" t="inlineStr">
        <is>
          <t>06, T09</t>
        </is>
      </c>
      <c r="H97" s="3" t="inlineStr">
        <is>
          <t>Targets met</t>
        </is>
      </c>
      <c r="I97" s="3" t="inlineStr">
        <is>
          <t>L</t>
        </is>
      </c>
      <c r="J97" s="3" t="inlineStr"/>
      <c r="K97" s="3" t="inlineStr">
        <is>
          <t>Not started</t>
        </is>
      </c>
      <c r="L97" s="3" t="inlineStr"/>
      <c r="M97" s="3" t="inlineStr"/>
      <c r="N97" s="3" t="inlineStr"/>
      <c r="O97" s="3" t="inlineStr"/>
    </row>
    <row r="98">
      <c r="A98" s="3" t="inlineStr">
        <is>
          <t>BPMS-181</t>
        </is>
      </c>
      <c r="B98" s="3" t="inlineStr">
        <is>
          <t>SEC</t>
        </is>
      </c>
      <c r="C98" s="3" t="inlineStr">
        <is>
          <t>External pentest + ASVS L2 self-assessment + fixes</t>
        </is>
      </c>
      <c r="D98" s="3" t="inlineStr">
        <is>
          <t>P1</t>
        </is>
      </c>
      <c r="E98" s="3" t="inlineStr">
        <is>
          <t>GA</t>
        </is>
      </c>
      <c r="F98" s="3" t="inlineStr">
        <is>
          <t>Security</t>
        </is>
      </c>
      <c r="G98" s="3" t="inlineStr">
        <is>
          <t>06</t>
        </is>
      </c>
      <c r="H98" s="3" t="inlineStr">
        <is>
          <t>0 crit/high</t>
        </is>
      </c>
      <c r="I98" s="3" t="inlineStr">
        <is>
          <t>M</t>
        </is>
      </c>
      <c r="J98" s="3" t="inlineStr"/>
      <c r="K98" s="3" t="inlineStr">
        <is>
          <t>Not started</t>
        </is>
      </c>
      <c r="L98" s="3" t="inlineStr"/>
      <c r="M98" s="3" t="inlineStr"/>
      <c r="N98" s="3" t="inlineStr"/>
      <c r="O98" s="3" t="inlineStr"/>
    </row>
    <row r="99">
      <c r="A99" s="3" t="inlineStr">
        <is>
          <t>BPMS-182</t>
        </is>
      </c>
      <c r="B99" s="3" t="inlineStr">
        <is>
          <t>UX</t>
        </is>
      </c>
      <c r="C99" s="3" t="inlineStr">
        <is>
          <t>WCAG 2.2 AA audit + VPAT 2.5 INT</t>
        </is>
      </c>
      <c r="D99" s="3" t="inlineStr">
        <is>
          <t>P1</t>
        </is>
      </c>
      <c r="E99" s="3" t="inlineStr">
        <is>
          <t>GA</t>
        </is>
      </c>
      <c r="F99" s="3" t="inlineStr">
        <is>
          <t>Design/QA</t>
        </is>
      </c>
      <c r="G99" s="3" t="inlineStr">
        <is>
          <t>A11Y-01/03</t>
        </is>
      </c>
      <c r="H99" s="3" t="inlineStr">
        <is>
          <t>Audit pass</t>
        </is>
      </c>
      <c r="I99" s="3" t="inlineStr">
        <is>
          <t>M</t>
        </is>
      </c>
      <c r="J99" s="3" t="inlineStr"/>
      <c r="K99" s="3" t="inlineStr">
        <is>
          <t>Not started</t>
        </is>
      </c>
      <c r="L99" s="3" t="inlineStr"/>
      <c r="M99" s="3" t="inlineStr"/>
      <c r="N99" s="3" t="inlineStr"/>
      <c r="O99" s="3" t="inlineStr"/>
    </row>
    <row r="100">
      <c r="A100" s="3" t="inlineStr">
        <is>
          <t>BPMS-183</t>
        </is>
      </c>
      <c r="B100" s="3" t="inlineStr">
        <is>
          <t>I18N</t>
        </is>
      </c>
      <c r="C100" s="3" t="inlineStr">
        <is>
          <t>3 UI languages + RTL + pseudo-locale</t>
        </is>
      </c>
      <c r="D100" s="3" t="inlineStr">
        <is>
          <t>P1</t>
        </is>
      </c>
      <c r="E100" s="3" t="inlineStr">
        <is>
          <t>GA</t>
        </is>
      </c>
      <c r="F100" s="3" t="inlineStr">
        <is>
          <t>FE</t>
        </is>
      </c>
      <c r="G100" s="3" t="inlineStr">
        <is>
          <t>FR-P04, OQ-09</t>
        </is>
      </c>
      <c r="H100" s="3" t="inlineStr">
        <is>
          <t>Checks pass</t>
        </is>
      </c>
      <c r="I100" s="3" t="inlineStr">
        <is>
          <t>M</t>
        </is>
      </c>
      <c r="J100" s="3" t="inlineStr"/>
      <c r="K100" s="3" t="inlineStr">
        <is>
          <t>Not started</t>
        </is>
      </c>
      <c r="L100" s="3" t="inlineStr"/>
      <c r="M100" s="3" t="inlineStr"/>
      <c r="N100" s="3" t="inlineStr"/>
      <c r="O100" s="3" t="inlineStr"/>
    </row>
    <row r="101">
      <c r="A101" s="3" t="inlineStr">
        <is>
          <t>BPMS-184</t>
        </is>
      </c>
      <c r="B101" s="3" t="inlineStr">
        <is>
          <t>OPS</t>
        </is>
      </c>
      <c r="C101" s="3" t="inlineStr">
        <is>
          <t>Helm chart, air-gapped bundle, upgrade N-1→N tests, dedicated-DB tier</t>
        </is>
      </c>
      <c r="D101" s="3" t="inlineStr">
        <is>
          <t>P1</t>
        </is>
      </c>
      <c r="E101" s="3" t="inlineStr">
        <is>
          <t>GA</t>
        </is>
      </c>
      <c r="F101" s="3" t="inlineStr">
        <is>
          <t>DevOps</t>
        </is>
      </c>
      <c r="G101" s="3" t="inlineStr">
        <is>
          <t>FR-P06, FR-S10</t>
        </is>
      </c>
      <c r="H101" s="3" t="inlineStr">
        <is>
          <t>Upgrade with live instances</t>
        </is>
      </c>
      <c r="I101" s="3" t="inlineStr">
        <is>
          <t>L</t>
        </is>
      </c>
      <c r="J101" s="3" t="inlineStr"/>
      <c r="K101" s="3" t="inlineStr">
        <is>
          <t>Not started</t>
        </is>
      </c>
      <c r="L101" s="3" t="inlineStr"/>
      <c r="M101" s="3" t="inlineStr"/>
      <c r="N101" s="3" t="inlineStr"/>
      <c r="O101" s="3" t="inlineStr"/>
    </row>
    <row r="102">
      <c r="A102" s="3" t="inlineStr">
        <is>
          <t>BPMS-185</t>
        </is>
      </c>
      <c r="B102" s="3" t="inlineStr">
        <is>
          <t>DOC</t>
        </is>
      </c>
      <c r="C102" s="3" t="inlineStr">
        <is>
          <t>Docs site, admin guide, API reference, trust pack</t>
        </is>
      </c>
      <c r="D102" s="3" t="inlineStr">
        <is>
          <t>P1</t>
        </is>
      </c>
      <c r="E102" s="3" t="inlineStr">
        <is>
          <t>GA</t>
        </is>
      </c>
      <c r="F102" s="3" t="inlineStr">
        <is>
          <t>Writer</t>
        </is>
      </c>
      <c r="G102" s="3" t="inlineStr">
        <is>
          <t>FX-P06</t>
        </is>
      </c>
      <c r="H102" s="3" t="inlineStr">
        <is>
          <t>Published</t>
        </is>
      </c>
      <c r="I102" s="3" t="inlineStr">
        <is>
          <t>M</t>
        </is>
      </c>
      <c r="J102" s="3" t="inlineStr"/>
      <c r="K102" s="3" t="inlineStr">
        <is>
          <t>Not started</t>
        </is>
      </c>
      <c r="L102" s="3" t="inlineStr"/>
      <c r="M102" s="3" t="inlineStr"/>
      <c r="N102" s="3" t="inlineStr"/>
      <c r="O102" s="3" t="inlineStr"/>
    </row>
    <row r="103">
      <c r="A103" s="3" t="inlineStr">
        <is>
          <t>BPMS-187</t>
        </is>
      </c>
      <c r="B103" s="3" t="inlineStr">
        <is>
          <t>E2E</t>
        </is>
      </c>
      <c r="C103" s="3" t="inlineStr">
        <is>
          <t>E2E-GA regression: 3 browsers × 2 viewports, cache-off, upgrade-path R1→1.0, air-gapped</t>
        </is>
      </c>
      <c r="D103" s="3" t="inlineStr">
        <is>
          <t>P1</t>
        </is>
      </c>
      <c r="E103" s="3" t="inlineStr">
        <is>
          <t>GA</t>
        </is>
      </c>
      <c r="F103" s="3" t="inlineStr">
        <is>
          <t>SDET</t>
        </is>
      </c>
      <c r="G103" s="3" t="inlineStr">
        <is>
          <t>23 §5</t>
        </is>
      </c>
      <c r="H103" s="3" t="inlineStr">
        <is>
          <t>Green; flake &lt; 0.5 %</t>
        </is>
      </c>
      <c r="I103" s="3" t="inlineStr">
        <is>
          <t>M</t>
        </is>
      </c>
      <c r="J103" s="3" t="inlineStr">
        <is>
          <t>BPMS-169</t>
        </is>
      </c>
      <c r="K103" s="3" t="inlineStr">
        <is>
          <t>Not started</t>
        </is>
      </c>
      <c r="L103" s="3" t="inlineStr"/>
      <c r="M103" s="3" t="inlineStr"/>
      <c r="N103" s="3" t="inlineStr"/>
      <c r="O103" s="3" t="inlineStr"/>
    </row>
    <row r="104">
      <c r="A104" s="3" t="inlineStr">
        <is>
          <t>BPMS-190</t>
        </is>
      </c>
      <c r="B104" s="3" t="inlineStr">
        <is>
          <t>REL</t>
        </is>
      </c>
      <c r="C104" s="3" t="inlineStr">
        <is>
          <t>GA release: signed artefacts, SBOM, provenance, runbooks</t>
        </is>
      </c>
      <c r="D104" s="3" t="inlineStr">
        <is>
          <t>P1</t>
        </is>
      </c>
      <c r="E104" s="3" t="inlineStr">
        <is>
          <t>GA</t>
        </is>
      </c>
      <c r="F104" s="3" t="inlineStr">
        <is>
          <t>Tech lead</t>
        </is>
      </c>
      <c r="G104" s="3" t="inlineStr">
        <is>
          <t>G5</t>
        </is>
      </c>
      <c r="H104" s="3" t="inlineStr">
        <is>
          <t>Released</t>
        </is>
      </c>
      <c r="I104" s="3" t="inlineStr">
        <is>
          <t>S</t>
        </is>
      </c>
      <c r="J104" s="3" t="inlineStr">
        <is>
          <t>M10</t>
        </is>
      </c>
      <c r="K104" s="3" t="inlineStr">
        <is>
          <t>Not started</t>
        </is>
      </c>
      <c r="L104" s="3" t="inlineStr"/>
      <c r="M104" s="3" t="inlineStr"/>
      <c r="N104" s="3" t="inlineStr"/>
      <c r="O104" s="3" t="inlineStr"/>
    </row>
    <row r="105">
      <c r="A105" s="3" t="inlineStr">
        <is>
          <t>BPMS-200</t>
        </is>
      </c>
      <c r="B105" s="3" t="inlineStr">
        <is>
          <t>INT</t>
        </is>
      </c>
      <c r="C105" s="3" t="inlineStr">
        <is>
          <t>Chat/host-platform connectors (identity, embed, cards, notifications, directory)</t>
        </is>
      </c>
      <c r="D105" s="3" t="inlineStr">
        <is>
          <t>P2</t>
        </is>
      </c>
      <c r="E105" s="3" t="inlineStr">
        <is>
          <t>POST</t>
        </is>
      </c>
      <c r="F105" s="3" t="inlineStr">
        <is>
          <t>Backend</t>
        </is>
      </c>
      <c r="G105" s="3" t="inlineStr">
        <is>
          <t>13 §4</t>
        </is>
      </c>
      <c r="H105" s="3" t="inlineStr">
        <is>
          <t>Demand gate</t>
        </is>
      </c>
      <c r="I105" s="3" t="inlineStr">
        <is>
          <t>XL</t>
        </is>
      </c>
      <c r="J105" s="3" t="inlineStr"/>
      <c r="K105" s="3" t="inlineStr">
        <is>
          <t>Not started</t>
        </is>
      </c>
      <c r="L105" s="3" t="inlineStr"/>
      <c r="M105" s="3" t="inlineStr"/>
      <c r="N105" s="3" t="inlineStr"/>
      <c r="O105" s="3" t="inlineStr"/>
    </row>
    <row r="106">
      <c r="A106" s="3" t="inlineStr">
        <is>
          <t>BPMS-201</t>
        </is>
      </c>
      <c r="B106" s="3" t="inlineStr">
        <is>
          <t>INT</t>
        </is>
      </c>
      <c r="C106" s="3" t="inlineStr">
        <is>
          <t>Chat cards (Slack/Teams), M365/Google, HRIS, ERP connectors</t>
        </is>
      </c>
      <c r="D106" s="3" t="inlineStr">
        <is>
          <t>P2</t>
        </is>
      </c>
      <c r="E106" s="3" t="inlineStr">
        <is>
          <t>POST</t>
        </is>
      </c>
      <c r="F106" s="3" t="inlineStr">
        <is>
          <t>Backend</t>
        </is>
      </c>
      <c r="G106" s="3" t="inlineStr">
        <is>
          <t>INT-*</t>
        </is>
      </c>
      <c r="H106" s="3" t="inlineStr">
        <is>
          <t>—</t>
        </is>
      </c>
      <c r="I106" s="3" t="inlineStr">
        <is>
          <t>XL</t>
        </is>
      </c>
      <c r="J106" s="3" t="inlineStr"/>
      <c r="K106" s="3" t="inlineStr">
        <is>
          <t>Not started</t>
        </is>
      </c>
      <c r="L106" s="3" t="inlineStr"/>
      <c r="M106" s="3" t="inlineStr"/>
      <c r="N106" s="3" t="inlineStr"/>
      <c r="O106" s="3" t="inlineStr"/>
    </row>
    <row r="107">
      <c r="A107" s="3" t="inlineStr">
        <is>
          <t>BPMS-202</t>
        </is>
      </c>
      <c r="B107" s="3" t="inlineStr">
        <is>
          <t>SIGN</t>
        </is>
      </c>
      <c r="C107" s="3" t="inlineStr">
        <is>
          <t>QES via QTSP; Aadhaar eSign via ESP; SMS/IDV providers</t>
        </is>
      </c>
      <c r="D107" s="3" t="inlineStr">
        <is>
          <t>P2</t>
        </is>
      </c>
      <c r="E107" s="3" t="inlineStr">
        <is>
          <t>POST</t>
        </is>
      </c>
      <c r="F107" s="3" t="inlineStr">
        <is>
          <t>Backend</t>
        </is>
      </c>
      <c r="G107" s="3" t="inlineStr">
        <is>
          <t>FX-S13, FX-S07</t>
        </is>
      </c>
      <c r="H107" s="3" t="inlineStr">
        <is>
          <t>—</t>
        </is>
      </c>
      <c r="I107" s="3" t="inlineStr">
        <is>
          <t>L</t>
        </is>
      </c>
      <c r="J107" s="3" t="inlineStr"/>
      <c r="K107" s="3" t="inlineStr">
        <is>
          <t>Not started</t>
        </is>
      </c>
      <c r="L107" s="3" t="inlineStr"/>
      <c r="M107" s="3" t="inlineStr"/>
      <c r="N107" s="3" t="inlineStr"/>
      <c r="O107" s="3" t="inlineStr"/>
    </row>
    <row r="108">
      <c r="A108" s="3" t="inlineStr">
        <is>
          <t>BPMS-203</t>
        </is>
      </c>
      <c r="B108" s="3" t="inlineStr">
        <is>
          <t>EXEC</t>
        </is>
      </c>
      <c r="C108" s="3" t="inlineStr">
        <is>
          <t>BPMN view (diagram-js), DMN import/export, migration tool, simulation</t>
        </is>
      </c>
      <c r="D108" s="3" t="inlineStr">
        <is>
          <t>P2</t>
        </is>
      </c>
      <c r="E108" s="3" t="inlineStr">
        <is>
          <t>POST</t>
        </is>
      </c>
      <c r="F108" s="3" t="inlineStr">
        <is>
          <t>Runtime/FE</t>
        </is>
      </c>
      <c r="G108" s="3" t="inlineStr">
        <is>
          <t>ADR-0018, FR-E07/E10, FR-I04</t>
        </is>
      </c>
      <c r="H108" s="3" t="inlineStr">
        <is>
          <t>—</t>
        </is>
      </c>
      <c r="I108" s="3" t="inlineStr">
        <is>
          <t>XL</t>
        </is>
      </c>
      <c r="J108" s="3" t="inlineStr"/>
      <c r="K108" s="3" t="inlineStr">
        <is>
          <t>Not started</t>
        </is>
      </c>
      <c r="L108" s="3" t="inlineStr"/>
      <c r="M108" s="3" t="inlineStr"/>
      <c r="N108" s="3" t="inlineStr"/>
      <c r="O108" s="3" t="inlineStr"/>
    </row>
    <row r="109">
      <c r="A109" s="3" t="inlineStr">
        <is>
          <t>BPMS-204</t>
        </is>
      </c>
      <c r="B109" s="3" t="inlineStr">
        <is>
          <t>INS</t>
        </is>
      </c>
      <c r="C109" s="3" t="inlineStr">
        <is>
          <t>Event-log export OCEL 2.0 / XES</t>
        </is>
      </c>
      <c r="D109" s="3" t="inlineStr">
        <is>
          <t>P2</t>
        </is>
      </c>
      <c r="E109" s="3" t="inlineStr">
        <is>
          <t>POST</t>
        </is>
      </c>
      <c r="F109" s="3" t="inlineStr">
        <is>
          <t>Data</t>
        </is>
      </c>
      <c r="G109" s="3" t="inlineStr">
        <is>
          <t>FR-I03</t>
        </is>
      </c>
      <c r="H109" s="3" t="inlineStr">
        <is>
          <t>Schema-valid</t>
        </is>
      </c>
      <c r="I109" s="3" t="inlineStr">
        <is>
          <t>M</t>
        </is>
      </c>
      <c r="J109" s="3" t="inlineStr"/>
      <c r="K109" s="3" t="inlineStr">
        <is>
          <t>Not started</t>
        </is>
      </c>
      <c r="L109" s="3" t="inlineStr"/>
      <c r="M109" s="3" t="inlineStr"/>
      <c r="N109" s="3" t="inlineStr"/>
      <c r="O109" s="3" t="inlineStr"/>
    </row>
    <row r="110">
      <c r="A110" s="3" t="inlineStr">
        <is>
          <t>BPMS-205</t>
        </is>
      </c>
      <c r="B110" s="3" t="inlineStr">
        <is>
          <t>AI</t>
        </is>
      </c>
      <c r="C110" s="3" t="inlineStr">
        <is>
          <t>Governed AI agent steps</t>
        </is>
      </c>
      <c r="D110" s="3" t="inlineStr">
        <is>
          <t>P2</t>
        </is>
      </c>
      <c r="E110" s="3" t="inlineStr">
        <is>
          <t>POST</t>
        </is>
      </c>
      <c r="F110" s="3" t="inlineStr">
        <is>
          <t>Fullstack</t>
        </is>
      </c>
      <c r="G110" s="3" t="inlineStr">
        <is>
          <t>16</t>
        </is>
      </c>
      <c r="H110" s="3" t="inlineStr">
        <is>
          <t>Human gate</t>
        </is>
      </c>
      <c r="I110" s="3" t="inlineStr">
        <is>
          <t>L</t>
        </is>
      </c>
      <c r="J110" s="3" t="inlineStr"/>
      <c r="K110" s="3" t="inlineStr">
        <is>
          <t>Not started</t>
        </is>
      </c>
      <c r="L110" s="3" t="inlineStr"/>
      <c r="M110" s="3" t="inlineStr"/>
      <c r="N110" s="3" t="inlineStr"/>
      <c r="O110" s="3" t="inlineStr"/>
    </row>
  </sheetData>
  <conditionalFormatting sqref="K2:K110">
    <cfRule type="cellIs" priority="1" operator="equal" dxfId="0">
      <formula>"Blocked"</formula>
    </cfRule>
    <cfRule type="cellIs" priority="2" operator="equal" dxfId="1">
      <formula>"Done"</formula>
    </cfRule>
    <cfRule type="cellIs" priority="3" operator="equal" dxfId="2">
      <formula>"In progress"</formula>
    </cfRule>
  </conditionalFormatting>
  <dataValidations count="1">
    <dataValidation sqref="K2:K110" showDropDown="0" showInputMessage="0" showErrorMessage="0" allowBlank="1" type="list">
      <formula1>"Not started,In progress,Blocked,In review,Done,Deferred"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00" customWidth="1" min="3" max="3"/>
    <col width="30" customWidth="1" min="4" max="4"/>
    <col width="13" customWidth="1" min="5" max="5"/>
  </cols>
  <sheetData>
    <row r="1">
      <c r="A1" s="2" t="inlineStr">
        <is>
          <t>Domain</t>
        </is>
      </c>
      <c r="B1" s="2" t="inlineStr">
        <is>
          <t>ID</t>
        </is>
      </c>
      <c r="C1" s="2" t="inlineStr">
        <is>
          <t>Details (as in source doc)</t>
        </is>
      </c>
      <c r="D1" s="2" t="inlineStr">
        <is>
          <t>Source doc</t>
        </is>
      </c>
      <c r="E1" s="2" t="inlineStr">
        <is>
          <t>Status</t>
        </is>
      </c>
    </row>
    <row r="2">
      <c r="A2" s="3" t="inlineStr">
        <is>
          <t>Templates (TPL)</t>
        </is>
      </c>
      <c r="B2" s="3" t="inlineStr">
        <is>
          <t>TPL-001</t>
        </is>
      </c>
      <c r="C2" s="3" t="inlineStr">
        <is>
          <t>Template manifest schema v1 + validator | 1 | M | IR v1 compiler</t>
        </is>
      </c>
      <c r="D2" s="3" t="inlineStr">
        <is>
          <t>19-PROCESS-TEMPLATE-LIBRARY.md</t>
        </is>
      </c>
      <c r="E2" s="3" t="inlineStr">
        <is>
          <t>Not started</t>
        </is>
      </c>
    </row>
    <row r="3">
      <c r="A3" s="3" t="inlineStr">
        <is>
          <t>Templates (TPL)</t>
        </is>
      </c>
      <c r="B3" s="3" t="inlineStr">
        <is>
          <t>TPL-002</t>
        </is>
      </c>
      <c r="C3" s="3" t="inlineStr">
        <is>
          <t>Gallery storage, signing and platform-admin publish UI | 1 | M | TPL-001, platform admin console</t>
        </is>
      </c>
      <c r="D3" s="3" t="inlineStr">
        <is>
          <t>19-PROCESS-TEMPLATE-LIBRARY.md</t>
        </is>
      </c>
      <c r="E3" s="3" t="inlineStr">
        <is>
          <t>Not started</t>
        </is>
      </c>
    </row>
    <row r="4">
      <c r="A4" s="3" t="inlineStr">
        <is>
          <t>Templates (TPL)</t>
        </is>
      </c>
      <c r="B4" s="3" t="inlineStr">
        <is>
          <t>TPL-003</t>
        </is>
      </c>
      <c r="C4" s="3" t="inlineStr">
        <is>
          <t>Install wizard (role mapping, parameters, optional steps, test-run) | 1 | L | TPL-001, authz roles/groups, test-run (FR-E11)</t>
        </is>
      </c>
      <c r="D4" s="3" t="inlineStr">
        <is>
          <t>19-PROCESS-TEMPLATE-LIBRARY.md</t>
        </is>
      </c>
      <c r="E4" s="3" t="inlineStr">
        <is>
          <t>Not started</t>
        </is>
      </c>
    </row>
    <row r="5">
      <c r="A5" s="3" t="inlineStr">
        <is>
          <t>Templates (TPL)</t>
        </is>
      </c>
      <c r="B5" s="3" t="inlineStr">
        <is>
          <t>TPL-004</t>
        </is>
      </c>
      <c r="C5" s="3" t="inlineStr">
        <is>
          <t>Lineage tracking + installed-from badge | 1 | S | TPL-003</t>
        </is>
      </c>
      <c r="D5" s="3" t="inlineStr">
        <is>
          <t>19-PROCESS-TEMPLATE-LIBRARY.md</t>
        </is>
      </c>
      <c r="E5" s="3" t="inlineStr">
        <is>
          <t>Not started</t>
        </is>
      </c>
    </row>
    <row r="6">
      <c r="A6" s="3" t="inlineStr">
        <is>
          <t>Templates (TPL)</t>
        </is>
      </c>
      <c r="B6" s="3" t="inlineStr">
        <is>
          <t>TPL-005</t>
        </is>
      </c>
      <c r="C6" s="3" t="inlineStr">
        <is>
          <t>Template CI: compile, fixtures, a11y, i18n lint | 1 | M | TPL-001, conformance harness</t>
        </is>
      </c>
      <c r="D6" s="3" t="inlineStr">
        <is>
          <t>19-PROCESS-TEMPLATE-LIBRARY.md</t>
        </is>
      </c>
      <c r="E6" s="3" t="inlineStr">
        <is>
          <t>Not started</t>
        </is>
      </c>
    </row>
    <row r="7">
      <c r="A7" s="3" t="inlineStr">
        <is>
          <t>Templates (TPL)</t>
        </is>
      </c>
      <c r="B7" s="3" t="inlineStr">
        <is>
          <t>TPL-006</t>
        </is>
      </c>
      <c r="C7" s="3" t="inlineStr">
        <is>
          <t>SOP skeleton block model with `&lt;&lt;fill&gt;&gt;` prompts + publish blocker | 1 | M | SOP content model (ADR-0013)</t>
        </is>
      </c>
      <c r="D7" s="3" t="inlineStr">
        <is>
          <t>19-PROCESS-TEMPLATE-LIBRARY.md</t>
        </is>
      </c>
      <c r="E7" s="3" t="inlineStr">
        <is>
          <t>Not started</t>
        </is>
      </c>
    </row>
    <row r="8">
      <c r="A8" s="3" t="inlineStr">
        <is>
          <t>Templates (TPL)</t>
        </is>
      </c>
      <c r="B8" s="3" t="inlineStr">
        <is>
          <t>TPL-007</t>
        </is>
      </c>
      <c r="C8" s="3" t="inlineStr">
        <is>
          <t>KPI definitions from domain events + default dashboards | 1 | M | Insights event model</t>
        </is>
      </c>
      <c r="D8" s="3" t="inlineStr">
        <is>
          <t>19-PROCESS-TEMPLATE-LIBRARY.md</t>
        </is>
      </c>
      <c r="E8" s="3" t="inlineStr">
        <is>
          <t>Not started</t>
        </is>
      </c>
    </row>
    <row r="9">
      <c r="A9" s="3" t="inlineStr">
        <is>
          <t>Templates (TPL)</t>
        </is>
      </c>
      <c r="B9" s="3" t="inlineStr">
        <is>
          <t>TPL-008</t>
        </is>
      </c>
      <c r="C9" s="3" t="inlineStr">
        <is>
          <t>Author Wave 1 HR templates (5) | 1 | L | TPL-001, TPL-006</t>
        </is>
      </c>
      <c r="D9" s="3" t="inlineStr">
        <is>
          <t>19-PROCESS-TEMPLATE-LIBRARY.md</t>
        </is>
      </c>
      <c r="E9" s="3" t="inlineStr">
        <is>
          <t>Not started</t>
        </is>
      </c>
    </row>
    <row r="10">
      <c r="A10" s="3" t="inlineStr">
        <is>
          <t>Templates (TPL)</t>
        </is>
      </c>
      <c r="B10" s="3" t="inlineStr">
        <is>
          <t>TPL-009</t>
        </is>
      </c>
      <c r="C10" s="3" t="inlineStr">
        <is>
          <t>Author Wave 1 finance/IT templates (4) | 1 | L | TPL-001, rule tables</t>
        </is>
      </c>
      <c r="D10" s="3" t="inlineStr">
        <is>
          <t>19-PROCESS-TEMPLATE-LIBRARY.md</t>
        </is>
      </c>
      <c r="E10" s="3" t="inlineStr">
        <is>
          <t>Not started</t>
        </is>
      </c>
    </row>
    <row r="11">
      <c r="A11" s="3" t="inlineStr">
        <is>
          <t>Templates (TPL)</t>
        </is>
      </c>
      <c r="B11" s="3" t="inlineStr">
        <is>
          <t>TPL-010</t>
        </is>
      </c>
      <c r="C11" s="3" t="inlineStr">
        <is>
          <t>Author Wave 1 GRC templates (3) | 1 | M | TPL-001</t>
        </is>
      </c>
      <c r="D11" s="3" t="inlineStr">
        <is>
          <t>19-PROCESS-TEMPLATE-LIBRARY.md</t>
        </is>
      </c>
      <c r="E11" s="3" t="inlineStr">
        <is>
          <t>Not started</t>
        </is>
      </c>
    </row>
    <row r="12">
      <c r="A12" s="3" t="inlineStr">
        <is>
          <t>Templates (TPL)</t>
        </is>
      </c>
      <c r="B12" s="3" t="inlineStr">
        <is>
          <t>TPL-011</t>
        </is>
      </c>
      <c r="C12" s="3" t="inlineStr">
        <is>
          <t>Author `qms.capa` case template | 1 (or 2) | M | Case management (FR-C01)</t>
        </is>
      </c>
      <c r="D12" s="3" t="inlineStr">
        <is>
          <t>19-PROCESS-TEMPLATE-LIBRARY.md</t>
        </is>
      </c>
      <c r="E12" s="3" t="inlineStr">
        <is>
          <t>Not started</t>
        </is>
      </c>
    </row>
    <row r="13">
      <c r="A13" s="3" t="inlineStr">
        <is>
          <t>Templates (TPL)</t>
        </is>
      </c>
      <c r="B13" s="3" t="inlineStr">
        <is>
          <t>TPL-012</t>
        </is>
      </c>
      <c r="C13" s="3" t="inlineStr">
        <is>
          <t>Hindi locale bundles for Wave 1 | 1 | S | TPL-008..011</t>
        </is>
      </c>
      <c r="D13" s="3" t="inlineStr">
        <is>
          <t>19-PROCESS-TEMPLATE-LIBRARY.md</t>
        </is>
      </c>
      <c r="E13" s="3" t="inlineStr">
        <is>
          <t>Not started</t>
        </is>
      </c>
    </row>
    <row r="14">
      <c r="A14" s="3" t="inlineStr">
        <is>
          <t>Templates (TPL)</t>
        </is>
      </c>
      <c r="B14" s="3" t="inlineStr">
        <is>
          <t>TPL-013</t>
        </is>
      </c>
      <c r="C14" s="3" t="inlineStr">
        <is>
          <t>Upgrade offer: 3-way semantic diff + selective accept | 2 | L | TPL-004, semantic diff (FR-G05)</t>
        </is>
      </c>
      <c r="D14" s="3" t="inlineStr">
        <is>
          <t>19-PROCESS-TEMPLATE-LIBRARY.md</t>
        </is>
      </c>
      <c r="E14" s="3" t="inlineStr">
        <is>
          <t>Not started</t>
        </is>
      </c>
    </row>
    <row r="15">
      <c r="A15" s="3" t="inlineStr">
        <is>
          <t>Templates (TPL)</t>
        </is>
      </c>
      <c r="B15" s="3" t="inlineStr">
        <is>
          <t>TPL-014</t>
        </is>
      </c>
      <c r="C15" s="3" t="inlineStr">
        <is>
          <t>Workspace-private templates ("save as template") | 2 | M | TPL-001</t>
        </is>
      </c>
      <c r="D15" s="3" t="inlineStr">
        <is>
          <t>19-PROCESS-TEMPLATE-LIBRARY.md</t>
        </is>
      </c>
      <c r="E15" s="3" t="inlineStr">
        <is>
          <t>Not started</t>
        </is>
      </c>
    </row>
    <row r="16">
      <c r="A16" s="3" t="inlineStr">
        <is>
          <t>Templates (TPL)</t>
        </is>
      </c>
      <c r="B16" s="3" t="inlineStr">
        <is>
          <t>TPL-015</t>
        </is>
      </c>
      <c r="C16" s="3" t="inlineStr">
        <is>
          <t>Author Wave 2 templates (~27) | 2 | L | TPL-005</t>
        </is>
      </c>
      <c r="D16" s="3" t="inlineStr">
        <is>
          <t>19-PROCESS-TEMPLATE-LIBRARY.md</t>
        </is>
      </c>
      <c r="E16" s="3" t="inlineStr">
        <is>
          <t>Not started</t>
        </is>
      </c>
    </row>
    <row r="17">
      <c r="A17" s="3" t="inlineStr">
        <is>
          <t>Templates (TPL)</t>
        </is>
      </c>
      <c r="B17" s="3" t="inlineStr">
        <is>
          <t>TPL-016</t>
        </is>
      </c>
      <c r="C17" s="3" t="inlineStr">
        <is>
          <t>Hook-point framework (connector replaces human fallback) | 2 | M | Connector framework</t>
        </is>
      </c>
      <c r="D17" s="3" t="inlineStr">
        <is>
          <t>19-PROCESS-TEMPLATE-LIBRARY.md</t>
        </is>
      </c>
      <c r="E17" s="3" t="inlineStr">
        <is>
          <t>Not started</t>
        </is>
      </c>
    </row>
    <row r="18">
      <c r="A18" s="3" t="inlineStr">
        <is>
          <t>Templates (TPL)</t>
        </is>
      </c>
      <c r="B18" s="3" t="inlineStr">
        <is>
          <t>TPL-017</t>
        </is>
      </c>
      <c r="C18" s="3" t="inlineStr">
        <is>
          <t>APQC PCF taxonomy import for the landscape (with attribution) | 2 | S | Legal confirmation of PCF licence ⚠</t>
        </is>
      </c>
      <c r="D18" s="3" t="inlineStr">
        <is>
          <t>19-PROCESS-TEMPLATE-LIBRARY.md</t>
        </is>
      </c>
      <c r="E18" s="3" t="inlineStr">
        <is>
          <t>Not started</t>
        </is>
      </c>
    </row>
    <row r="19">
      <c r="A19" s="3" t="inlineStr">
        <is>
          <t>Templates (TPL)</t>
        </is>
      </c>
      <c r="B19" s="3" t="inlineStr">
        <is>
          <t>TPL-018</t>
        </is>
      </c>
      <c r="C19" s="3" t="inlineStr">
        <is>
          <t>GxP pack with Part 11 signatures + validation fixtures | 3 | L | ESIG-01..05</t>
        </is>
      </c>
      <c r="D19" s="3" t="inlineStr">
        <is>
          <t>19-PROCESS-TEMPLATE-LIBRARY.md</t>
        </is>
      </c>
      <c r="E19" s="3" t="inlineStr">
        <is>
          <t>Not started</t>
        </is>
      </c>
    </row>
    <row r="20">
      <c r="A20" s="3" t="inlineStr">
        <is>
          <t>Templates (TPL)</t>
        </is>
      </c>
      <c r="B20" s="3" t="inlineStr">
        <is>
          <t>TPL-019</t>
        </is>
      </c>
      <c r="C20" s="3" t="inlineStr">
        <is>
          <t>Healthcare, FS, manufacturing, public sector, education packs | 3 | L | TPL-015, demand gate</t>
        </is>
      </c>
      <c r="D20" s="3" t="inlineStr">
        <is>
          <t>19-PROCESS-TEMPLATE-LIBRARY.md</t>
        </is>
      </c>
      <c r="E20" s="3" t="inlineStr">
        <is>
          <t>Not started</t>
        </is>
      </c>
    </row>
    <row r="21">
      <c r="A21" s="3" t="inlineStr">
        <is>
          <t>Templates (TPL)</t>
        </is>
      </c>
      <c r="B21" s="3" t="inlineStr">
        <is>
          <t>TPL-020</t>
        </is>
      </c>
      <c r="C21" s="3" t="inlineStr">
        <is>
          <t>Template marketplace (third-party submission + review) | 3 | L | TPL-002, Phase 4 gate</t>
        </is>
      </c>
      <c r="D21" s="3" t="inlineStr">
        <is>
          <t>19-PROCESS-TEMPLATE-LIBRARY.md</t>
        </is>
      </c>
      <c r="E21" s="3" t="inlineStr">
        <is>
          <t>Not started</t>
        </is>
      </c>
    </row>
    <row r="22">
      <c r="A22" s="3" t="inlineStr">
        <is>
          <t>UX (UX)</t>
        </is>
      </c>
      <c r="B22" s="3" t="inlineStr">
        <is>
          <t>UX-001</t>
        </is>
      </c>
      <c r="C22" s="3" t="inlineStr">
        <is>
          <t>Design tokens, theming (accent with contrast enforcement), dark-ready | M1 | M</t>
        </is>
      </c>
      <c r="D22" s="3" t="inlineStr">
        <is>
          <t>05-UX-AND-DESIGN.md</t>
        </is>
      </c>
      <c r="E22" s="3" t="inlineStr">
        <is>
          <t>Not started</t>
        </is>
      </c>
    </row>
    <row r="23">
      <c r="A23" s="3" t="inlineStr">
        <is>
          <t>UX (UX)</t>
        </is>
      </c>
      <c r="B23" s="3" t="inlineStr">
        <is>
          <t>UX-002</t>
        </is>
      </c>
      <c r="C23" s="3" t="inlineStr">
        <is>
          <t>App shell, permission-shaped nav, workspace switcher | M1 | M</t>
        </is>
      </c>
      <c r="D23" s="3" t="inlineStr">
        <is>
          <t>05-UX-AND-DESIGN.md</t>
        </is>
      </c>
      <c r="E23" s="3" t="inlineStr">
        <is>
          <t>Not started</t>
        </is>
      </c>
    </row>
    <row r="24">
      <c r="A24" s="3" t="inlineStr">
        <is>
          <t>UX (UX)</t>
        </is>
      </c>
      <c r="B24" s="3" t="inlineStr">
        <is>
          <t>UX-003</t>
        </is>
      </c>
      <c r="C24" s="3" t="inlineStr">
        <is>
          <t>Command palette (⌘K) and global search page | M2 | M</t>
        </is>
      </c>
      <c r="D24" s="3" t="inlineStr">
        <is>
          <t>05-UX-AND-DESIGN.md</t>
        </is>
      </c>
      <c r="E24" s="3" t="inlineStr">
        <is>
          <t>Not started</t>
        </is>
      </c>
    </row>
    <row r="25">
      <c r="A25" s="3" t="inlineStr">
        <is>
          <t>UX (UX)</t>
        </is>
      </c>
      <c r="B25" s="3" t="inlineStr">
        <is>
          <t>UX-004</t>
        </is>
      </c>
      <c r="C25" s="3" t="inlineStr">
        <is>
          <t>Shared DataGrid: sort, filter builder, chips, columns, saved views, export, bulk preview, responsive cards | M2 | L</t>
        </is>
      </c>
      <c r="D25" s="3" t="inlineStr">
        <is>
          <t>05-UX-AND-DESIGN.md</t>
        </is>
      </c>
      <c r="E25" s="3" t="inlineStr">
        <is>
          <t>Not started</t>
        </is>
      </c>
    </row>
    <row r="26">
      <c r="A26" s="3" t="inlineStr">
        <is>
          <t>UX (UX)</t>
        </is>
      </c>
      <c r="B26" s="3" t="inlineStr">
        <is>
          <t>UX-005</t>
        </is>
      </c>
      <c r="C26" s="3" t="inlineStr">
        <is>
          <t>Empty/loading/error/no-permission state kit | M1 | S</t>
        </is>
      </c>
      <c r="D26" s="3" t="inlineStr">
        <is>
          <t>05-UX-AND-DESIGN.md</t>
        </is>
      </c>
      <c r="E26" s="3" t="inlineStr">
        <is>
          <t>Not started</t>
        </is>
      </c>
    </row>
    <row r="27">
      <c r="A27" s="3" t="inlineStr">
        <is>
          <t>UX (UX)</t>
        </is>
      </c>
      <c r="B27" s="3" t="inlineStr">
        <is>
          <t>UX-006</t>
        </is>
      </c>
      <c r="C27" s="3" t="inlineStr">
        <is>
          <t>Library and Process detail (incl. versions and semantic diff viewer) | M2 | L</t>
        </is>
      </c>
      <c r="D27" s="3" t="inlineStr">
        <is>
          <t>05-UX-AND-DESIGN.md</t>
        </is>
      </c>
      <c r="E27" s="3" t="inlineStr">
        <is>
          <t>Not started</t>
        </is>
      </c>
    </row>
    <row r="28">
      <c r="A28" s="3" t="inlineStr">
        <is>
          <t>UX (UX)</t>
        </is>
      </c>
      <c r="B28" s="3" t="inlineStr">
        <is>
          <t>UX-007</t>
        </is>
      </c>
      <c r="C28" s="3" t="inlineStr">
        <is>
          <t>SOP block editor, review mode, acknowledgement flow | M3 | L</t>
        </is>
      </c>
      <c r="D28" s="3" t="inlineStr">
        <is>
          <t>05-UX-AND-DESIGN.md</t>
        </is>
      </c>
      <c r="E28" s="3" t="inlineStr">
        <is>
          <t>Not started</t>
        </is>
      </c>
    </row>
    <row r="29">
      <c r="A29" s="3" t="inlineStr">
        <is>
          <t>UX (UX)</t>
        </is>
      </c>
      <c r="B29" s="3" t="inlineStr">
        <is>
          <t>UX-008</t>
        </is>
      </c>
      <c r="C29" s="3" t="inlineStr">
        <is>
          <t>Governance lifecycle chips, publish dialog, scheduled countdown | M3 | M</t>
        </is>
      </c>
      <c r="D29" s="3" t="inlineStr">
        <is>
          <t>05-UX-AND-DESIGN.md</t>
        </is>
      </c>
      <c r="E29" s="3" t="inlineStr">
        <is>
          <t>Not started</t>
        </is>
      </c>
    </row>
    <row r="30">
      <c r="A30" s="3" t="inlineStr">
        <is>
          <t>UX (UX)</t>
        </is>
      </c>
      <c r="B30" s="3" t="inlineStr">
        <is>
          <t>UX-009</t>
        </is>
      </c>
      <c r="C30" s="3" t="inlineStr">
        <is>
          <t>Designer: step builder + properties panel + validation problems panel | M4 | L</t>
        </is>
      </c>
      <c r="D30" s="3" t="inlineStr">
        <is>
          <t>05-UX-AND-DESIGN.md</t>
        </is>
      </c>
      <c r="E30" s="3" t="inlineStr">
        <is>
          <t>Not started</t>
        </is>
      </c>
    </row>
    <row r="31">
      <c r="A31" s="3" t="inlineStr">
        <is>
          <t>UX (UX)</t>
        </is>
      </c>
      <c r="B31" s="3" t="inlineStr">
        <is>
          <t>UX-010</t>
        </is>
      </c>
      <c r="C31" s="3" t="inlineStr">
        <is>
          <t>Designer: flow canvas view with keyboard and non-drag alternatives | M4 | L</t>
        </is>
      </c>
      <c r="D31" s="3" t="inlineStr">
        <is>
          <t>05-UX-AND-DESIGN.md</t>
        </is>
      </c>
      <c r="E31" s="3" t="inlineStr">
        <is>
          <t>Not started</t>
        </is>
      </c>
    </row>
    <row r="32">
      <c r="A32" s="3" t="inlineStr">
        <is>
          <t>UX (UX)</t>
        </is>
      </c>
      <c r="B32" s="3" t="inlineStr">
        <is>
          <t>UX-011</t>
        </is>
      </c>
      <c r="C32" s="3" t="inlineStr">
        <is>
          <t>Test run split view with act-as and trace | M4 | M</t>
        </is>
      </c>
      <c r="D32" s="3" t="inlineStr">
        <is>
          <t>05-UX-AND-DESIGN.md</t>
        </is>
      </c>
      <c r="E32" s="3" t="inlineStr">
        <is>
          <t>Not started</t>
        </is>
      </c>
    </row>
    <row r="33">
      <c r="A33" s="3" t="inlineStr">
        <is>
          <t>UX (UX)</t>
        </is>
      </c>
      <c r="B33" s="3" t="inlineStr">
        <is>
          <t>UX-012</t>
        </is>
      </c>
      <c r="C33" s="3" t="inlineStr">
        <is>
          <t>Form builder with classification and role preview | M4 | L</t>
        </is>
      </c>
      <c r="D33" s="3" t="inlineStr">
        <is>
          <t>05-UX-AND-DESIGN.md</t>
        </is>
      </c>
      <c r="E33" s="3" t="inlineStr">
        <is>
          <t>Not started</t>
        </is>
      </c>
    </row>
    <row r="34">
      <c r="A34" s="3" t="inlineStr">
        <is>
          <t>UX (UX)</t>
        </is>
      </c>
      <c r="B34" s="3" t="inlineStr">
        <is>
          <t>UX-013</t>
        </is>
      </c>
      <c r="C34" s="3" t="inlineStr">
        <is>
          <t>Template gallery and 4-step install wizard; upgrade 3-way diff (P1) | M3 / M8 | M</t>
        </is>
      </c>
      <c r="D34" s="3" t="inlineStr">
        <is>
          <t>05-UX-AND-DESIGN.md</t>
        </is>
      </c>
      <c r="E34" s="3" t="inlineStr">
        <is>
          <t>Not started</t>
        </is>
      </c>
    </row>
    <row r="35">
      <c r="A35" s="3" t="inlineStr">
        <is>
          <t>UX (UX)</t>
        </is>
      </c>
      <c r="B35" s="3" t="inlineStr">
        <is>
          <t>UX-014</t>
        </is>
      </c>
      <c r="C35" s="3" t="inlineStr">
        <is>
          <t>Start request with "what happens next" and undo window | M5 | M</t>
        </is>
      </c>
      <c r="D35" s="3" t="inlineStr">
        <is>
          <t>05-UX-AND-DESIGN.md</t>
        </is>
      </c>
      <c r="E35" s="3" t="inlineStr">
        <is>
          <t>Not started</t>
        </is>
      </c>
    </row>
    <row r="36">
      <c r="A36" s="3" t="inlineStr">
        <is>
          <t>UX (UX)</t>
        </is>
      </c>
      <c r="B36" s="3" t="inlineStr">
        <is>
          <t>UX-015</t>
        </is>
      </c>
      <c r="C36" s="3" t="inlineStr">
        <is>
          <t>Request detail with stepper, activity, history, files | M5 | M</t>
        </is>
      </c>
      <c r="D36" s="3" t="inlineStr">
        <is>
          <t>05-UX-AND-DESIGN.md</t>
        </is>
      </c>
      <c r="E36" s="3" t="inlineStr">
        <is>
          <t>Not started</t>
        </is>
      </c>
    </row>
    <row r="37">
      <c r="A37" s="3" t="inlineStr">
        <is>
          <t>UX (UX)</t>
        </is>
      </c>
      <c r="B37" s="3" t="inlineStr">
        <is>
          <t>UX-016</t>
        </is>
      </c>
      <c r="C37" s="3" t="inlineStr">
        <is>
          <t>My Work 3-pane inbox with keyboard triage, OOO, safe bulk approve | M5 | L</t>
        </is>
      </c>
      <c r="D37" s="3" t="inlineStr">
        <is>
          <t>05-UX-AND-DESIGN.md</t>
        </is>
      </c>
      <c r="E37" s="3" t="inlineStr">
        <is>
          <t>Not started</t>
        </is>
      </c>
    </row>
    <row r="38">
      <c r="A38" s="3" t="inlineStr">
        <is>
          <t>UX (UX)</t>
        </is>
      </c>
      <c r="B38" s="3" t="inlineStr">
        <is>
          <t>UX-017</t>
        </is>
      </c>
      <c r="C38" s="3" t="inlineStr">
        <is>
          <t>Admin Overview dashboard with drill-downs | M5 | M</t>
        </is>
      </c>
      <c r="D38" s="3" t="inlineStr">
        <is>
          <t>05-UX-AND-DESIGN.md</t>
        </is>
      </c>
      <c r="E38" s="3" t="inlineStr">
        <is>
          <t>Not started</t>
        </is>
      </c>
    </row>
    <row r="39">
      <c r="A39" s="3" t="inlineStr">
        <is>
          <t>UX (UX)</t>
        </is>
      </c>
      <c r="B39" s="3" t="inlineStr">
        <is>
          <t>UX-018</t>
        </is>
      </c>
      <c r="C39" s="3" t="inlineStr">
        <is>
          <t>Admin Members, Directory, Settings, Calendars | M2 | L</t>
        </is>
      </c>
      <c r="D39" s="3" t="inlineStr">
        <is>
          <t>05-UX-AND-DESIGN.md</t>
        </is>
      </c>
      <c r="E39" s="3" t="inlineStr">
        <is>
          <t>Not started</t>
        </is>
      </c>
    </row>
    <row r="40">
      <c r="A40" s="3" t="inlineStr">
        <is>
          <t>UX (UX)</t>
        </is>
      </c>
      <c r="B40" s="3" t="inlineStr">
        <is>
          <t>UX-019</t>
        </is>
      </c>
      <c r="C40" s="3" t="inlineStr">
        <is>
          <t>Roles editor: permission matrix, effect preview, step-up | M2 | M</t>
        </is>
      </c>
      <c r="D40" s="3" t="inlineStr">
        <is>
          <t>05-UX-AND-DESIGN.md</t>
        </is>
      </c>
      <c r="E40" s="3" t="inlineStr">
        <is>
          <t>Not started</t>
        </is>
      </c>
    </row>
    <row r="41">
      <c r="A41" s="3" t="inlineStr">
        <is>
          <t>UX (UX)</t>
        </is>
      </c>
      <c r="B41" s="3" t="inlineStr">
        <is>
          <t>UX-020</t>
        </is>
      </c>
      <c r="C41" s="3" t="inlineStr">
        <is>
          <t>Admin Requests (all), Workload, Process health, Ops monitor | M5 | L</t>
        </is>
      </c>
      <c r="D41" s="3" t="inlineStr">
        <is>
          <t>05-UX-AND-DESIGN.md</t>
        </is>
      </c>
      <c r="E41" s="3" t="inlineStr">
        <is>
          <t>Not started</t>
        </is>
      </c>
    </row>
    <row r="42">
      <c r="A42" s="3" t="inlineStr">
        <is>
          <t>UX (UX)</t>
        </is>
      </c>
      <c r="B42" s="3" t="inlineStr">
        <is>
          <t>UX-021</t>
        </is>
      </c>
      <c r="C42" s="3" t="inlineStr">
        <is>
          <t>Admin Files view, quota breakdown, quarantine tab | M5 | M</t>
        </is>
      </c>
      <c r="D42" s="3" t="inlineStr">
        <is>
          <t>05-UX-AND-DESIGN.md</t>
        </is>
      </c>
      <c r="E42" s="3" t="inlineStr">
        <is>
          <t>Not started</t>
        </is>
      </c>
    </row>
    <row r="43">
      <c r="A43" s="3" t="inlineStr">
        <is>
          <t>UX (UX)</t>
        </is>
      </c>
      <c r="B43" s="3" t="inlineStr">
        <is>
          <t>UX-022</t>
        </is>
      </c>
      <c r="C43" s="3" t="inlineStr">
        <is>
          <t>Audit explorer with timelines, diff view and chain badge | M3 | L</t>
        </is>
      </c>
      <c r="D43" s="3" t="inlineStr">
        <is>
          <t>05-UX-AND-DESIGN.md</t>
        </is>
      </c>
      <c r="E43" s="3" t="inlineStr">
        <is>
          <t>Not started</t>
        </is>
      </c>
    </row>
    <row r="44">
      <c r="A44" s="3" t="inlineStr">
        <is>
          <t>UX (UX)</t>
        </is>
      </c>
      <c r="B44" s="3" t="inlineStr">
        <is>
          <t>UX-023</t>
        </is>
      </c>
      <c r="C44" s="3" t="inlineStr">
        <is>
          <t>Investigations workspace with pin-to-investigation and signed export | M8 | M</t>
        </is>
      </c>
      <c r="D44" s="3" t="inlineStr">
        <is>
          <t>05-UX-AND-DESIGN.md</t>
        </is>
      </c>
      <c r="E44" s="3" t="inlineStr">
        <is>
          <t>Not started</t>
        </is>
      </c>
    </row>
    <row r="45">
      <c r="A45" s="3" t="inlineStr">
        <is>
          <t>UX (UX)</t>
        </is>
      </c>
      <c r="B45" s="3" t="inlineStr">
        <is>
          <t>UX-024</t>
        </is>
      </c>
      <c r="C45" s="3" t="inlineStr">
        <is>
          <t>Alert rules editor with preview, and alert inbox | M8 | M</t>
        </is>
      </c>
      <c r="D45" s="3" t="inlineStr">
        <is>
          <t>05-UX-AND-DESIGN.md</t>
        </is>
      </c>
      <c r="E45" s="3" t="inlineStr">
        <is>
          <t>Not started</t>
        </is>
      </c>
    </row>
    <row r="46">
      <c r="A46" s="3" t="inlineStr">
        <is>
          <t>UX (UX)</t>
        </is>
      </c>
      <c r="B46" s="3" t="inlineStr">
        <is>
          <t>UX-025</t>
        </is>
      </c>
      <c r="C46" s="3" t="inlineStr">
        <is>
          <t>System Admin console: workspaces, quotas, gallery management, health, system audit | M2 | L</t>
        </is>
      </c>
      <c r="D46" s="3" t="inlineStr">
        <is>
          <t>05-UX-AND-DESIGN.md</t>
        </is>
      </c>
      <c r="E46" s="3" t="inlineStr">
        <is>
          <t>Not started</t>
        </is>
      </c>
    </row>
    <row r="47">
      <c r="A47" s="3" t="inlineStr">
        <is>
          <t>UX (UX)</t>
        </is>
      </c>
      <c r="B47" s="3" t="inlineStr">
        <is>
          <t>UX-026</t>
        </is>
      </c>
      <c r="C47" s="3" t="inlineStr">
        <is>
          <t>Break-glass request/approval flow and banners | M8 | S</t>
        </is>
      </c>
      <c r="D47" s="3" t="inlineStr">
        <is>
          <t>05-UX-AND-DESIGN.md</t>
        </is>
      </c>
      <c r="E47" s="3" t="inlineStr">
        <is>
          <t>Not started</t>
        </is>
      </c>
    </row>
    <row r="48">
      <c r="A48" s="3" t="inlineStr">
        <is>
          <t>UX (UX)</t>
        </is>
      </c>
      <c r="B48" s="3" t="inlineStr">
        <is>
          <t>UX-027</t>
        </is>
      </c>
      <c r="C48" s="3" t="inlineStr">
        <is>
          <t>Cases board and case page with closure panel | M8 | L</t>
        </is>
      </c>
      <c r="D48" s="3" t="inlineStr">
        <is>
          <t>05-UX-AND-DESIGN.md</t>
        </is>
      </c>
      <c r="E48" s="3" t="inlineStr">
        <is>
          <t>Not started</t>
        </is>
      </c>
    </row>
    <row r="49">
      <c r="A49" s="3" t="inlineStr">
        <is>
          <t>UX (UX)</t>
        </is>
      </c>
      <c r="B49" s="3" t="inlineStr">
        <is>
          <t>UX-028</t>
        </is>
      </c>
      <c r="C49" s="3" t="inlineStr">
        <is>
          <t>Improve: standard reports and version compare | M6 | M</t>
        </is>
      </c>
      <c r="D49" s="3" t="inlineStr">
        <is>
          <t>05-UX-AND-DESIGN.md</t>
        </is>
      </c>
      <c r="E49" s="3" t="inlineStr">
        <is>
          <t>Not started</t>
        </is>
      </c>
    </row>
    <row r="50">
      <c r="A50" s="3" t="inlineStr">
        <is>
          <t>UX (UX)</t>
        </is>
      </c>
      <c r="B50" s="3" t="inlineStr">
        <is>
          <t>UX-029</t>
        </is>
      </c>
      <c r="C50" s="3" t="inlineStr">
        <is>
          <t>Notification centre, preferences matrix, email templates | M5 | M</t>
        </is>
      </c>
      <c r="D50" s="3" t="inlineStr">
        <is>
          <t>05-UX-AND-DESIGN.md</t>
        </is>
      </c>
      <c r="E50" s="3" t="inlineStr">
        <is>
          <t>Not started</t>
        </is>
      </c>
    </row>
    <row r="51">
      <c r="A51" s="3" t="inlineStr">
        <is>
          <t>UX (UX)</t>
        </is>
      </c>
      <c r="B51" s="3" t="inlineStr">
        <is>
          <t>UX-030</t>
        </is>
      </c>
      <c r="C51" s="3" t="inlineStr">
        <is>
          <t>Email-actionable approval confirm screen and web push (PWA) | M8 | M</t>
        </is>
      </c>
      <c r="D51" s="3" t="inlineStr">
        <is>
          <t>05-UX-AND-DESIGN.md</t>
        </is>
      </c>
      <c r="E51" s="3" t="inlineStr">
        <is>
          <t>Not started</t>
        </is>
      </c>
    </row>
    <row r="52">
      <c r="A52" s="3" t="inlineStr">
        <is>
          <t>UX (UX)</t>
        </is>
      </c>
      <c r="B52" s="3" t="inlineStr">
        <is>
          <t>UX-031</t>
        </is>
      </c>
      <c r="C52" s="3" t="inlineStr">
        <is>
          <t>Signature dialog (meaning, re-auth) and manifestation rendering | M8 | M</t>
        </is>
      </c>
      <c r="D52" s="3" t="inlineStr">
        <is>
          <t>05-UX-AND-DESIGN.md</t>
        </is>
      </c>
      <c r="E52" s="3" t="inlineStr">
        <is>
          <t>Not started</t>
        </is>
      </c>
    </row>
    <row r="53">
      <c r="A53" s="3" t="inlineStr">
        <is>
          <t>UX (UX)</t>
        </is>
      </c>
      <c r="B53" s="3" t="inlineStr">
        <is>
          <t>UX-032</t>
        </is>
      </c>
      <c r="C53" s="3" t="inlineStr">
        <is>
          <t>Mobile PWA pass: My Work, start, detail, acknowledge at 360 px | M6 | M</t>
        </is>
      </c>
      <c r="D53" s="3" t="inlineStr">
        <is>
          <t>05-UX-AND-DESIGN.md</t>
        </is>
      </c>
      <c r="E53" s="3" t="inlineStr">
        <is>
          <t>Not started</t>
        </is>
      </c>
    </row>
    <row r="54">
      <c r="A54" s="3" t="inlineStr">
        <is>
          <t>UX (UX)</t>
        </is>
      </c>
      <c r="B54" s="3" t="inlineStr">
        <is>
          <t>UX-033</t>
        </is>
      </c>
      <c r="C54" s="3" t="inlineStr">
        <is>
          <t>i18n pipeline, pseudo-localisation, RTL audit, terminology overrides | M6 | M</t>
        </is>
      </c>
      <c r="D54" s="3" t="inlineStr">
        <is>
          <t>05-UX-AND-DESIGN.md</t>
        </is>
      </c>
      <c r="E54" s="3" t="inlineStr">
        <is>
          <t>Not started</t>
        </is>
      </c>
    </row>
    <row r="55">
      <c r="A55" s="3" t="inlineStr">
        <is>
          <t>UX (UX)</t>
        </is>
      </c>
      <c r="B55" s="3" t="inlineStr">
        <is>
          <t>UX-034</t>
        </is>
      </c>
      <c r="C55" s="3" t="inlineStr">
        <is>
          <t>Accessibility: axe CI, SR passes per milestone, external audit, VPAT | M1→M10 | L</t>
        </is>
      </c>
      <c r="D55" s="3" t="inlineStr">
        <is>
          <t>05-UX-AND-DESIGN.md</t>
        </is>
      </c>
      <c r="E55" s="3" t="inlineStr">
        <is>
          <t>Not started</t>
        </is>
      </c>
    </row>
    <row r="56">
      <c r="A56" s="3" t="inlineStr">
        <is>
          <t>UX (UX)</t>
        </is>
      </c>
      <c r="B56" s="3" t="inlineStr">
        <is>
          <t>UX-035</t>
        </is>
      </c>
      <c r="C56" s="3" t="inlineStr">
        <is>
          <t>Usability research rounds 1–5 and SUS tracking | M1→M10 | M</t>
        </is>
      </c>
      <c r="D56" s="3" t="inlineStr">
        <is>
          <t>05-UX-AND-DESIGN.md</t>
        </is>
      </c>
      <c r="E56" s="3" t="inlineStr">
        <is>
          <t>Not started</t>
        </is>
      </c>
    </row>
    <row r="57">
      <c r="A57" s="3" t="inlineStr">
        <is>
          <t>UX (UX)</t>
        </is>
      </c>
      <c r="B57" s="3" t="inlineStr">
        <is>
          <t>UX-036</t>
        </is>
      </c>
      <c r="C57" s="3" t="inlineStr">
        <is>
          <t>Custom dashboard builder (P1) | M9 | L</t>
        </is>
      </c>
      <c r="D57" s="3" t="inlineStr">
        <is>
          <t>05-UX-AND-DESIGN.md</t>
        </is>
      </c>
      <c r="E57" s="3" t="inlineStr">
        <is>
          <t>Not started</t>
        </is>
      </c>
    </row>
    <row r="58">
      <c r="A58" s="3" t="inlineStr">
        <is>
          <t>UX (UX)</t>
        </is>
      </c>
      <c r="B58" s="3" t="inlineStr">
        <is>
          <t>UX-037</t>
        </is>
      </c>
      <c r="C58" s="3" t="inlineStr">
        <is>
          <t>Audience &amp; scale: startup first-run wizard (3 questions → templates → live), module toggles, progressive promotion of power features | M3 | M</t>
        </is>
      </c>
      <c r="D58" s="3" t="inlineStr">
        <is>
          <t>05-UX-AND-DESIGN.md</t>
        </is>
      </c>
      <c r="E58" s="3" t="inlineStr">
        <is>
          <t>Not started</t>
        </is>
      </c>
    </row>
    <row r="59">
      <c r="A59" s="3" t="inlineStr">
        <is>
          <t>UX (UX)</t>
        </is>
      </c>
      <c r="B59" s="3" t="inlineStr">
        <is>
          <t>UX-038</t>
        </is>
      </c>
      <c r="C59" s="3" t="inlineStr">
        <is>
          <t>Policies: library, document-like read view, authoring fields, applicability, public link, publish → campaign preview | M3 | L</t>
        </is>
      </c>
      <c r="D59" s="3" t="inlineStr">
        <is>
          <t>05-UX-AND-DESIGN.md</t>
        </is>
      </c>
      <c r="E59" s="3" t="inlineStr">
        <is>
          <t>Not started</t>
        </is>
      </c>
    </row>
    <row r="60">
      <c r="A60" s="3" t="inlineStr">
        <is>
          <t>UX (UX)</t>
        </is>
      </c>
      <c r="B60" s="3" t="inlineStr">
        <is>
          <t>UX-039</t>
        </is>
      </c>
      <c r="C60" s="3" t="inlineStr">
        <is>
          <t>Acknowledgement &amp; Signature campaign engine UX: employee Acknowledgements/Signatures sections in My Work; receipts; quiz | M5 | L</t>
        </is>
      </c>
      <c r="D60" s="3" t="inlineStr">
        <is>
          <t>05-UX-AND-DESIGN.md</t>
        </is>
      </c>
      <c r="E60" s="3" t="inlineStr">
        <is>
          <t>Not started</t>
        </is>
      </c>
    </row>
    <row r="61">
      <c r="A61" s="3" t="inlineStr">
        <is>
          <t>UX (UX)</t>
        </is>
      </c>
      <c r="B61" s="3" t="inlineStr">
        <is>
          <t>UX-040</t>
        </is>
      </c>
      <c r="C61" s="3" t="inlineStr">
        <is>
          <t>Campaign tracker: campaigns DataGrid, completion by department, remind/escalate/exempt, evidence export | M5 | M</t>
        </is>
      </c>
      <c r="D61" s="3" t="inlineStr">
        <is>
          <t>05-UX-AND-DESIGN.md</t>
        </is>
      </c>
      <c r="E61" s="3" t="inlineStr">
        <is>
          <t>Not started</t>
        </is>
      </c>
    </row>
    <row r="62">
      <c r="A62" s="3" t="inlineStr">
        <is>
          <t>UX (UX)</t>
        </is>
      </c>
      <c r="B62" s="3" t="inlineStr">
        <is>
          <t>UX-041</t>
        </is>
      </c>
      <c r="C62" s="3" t="inlineStr">
        <is>
          <t>Announcements: compose with audience targeting and reach count, schedule/expiry/pin, require-ack, reading-layout feed | M5 | M</t>
        </is>
      </c>
      <c r="D62" s="3" t="inlineStr">
        <is>
          <t>05-UX-AND-DESIGN.md</t>
        </is>
      </c>
      <c r="E62" s="3" t="inlineStr">
        <is>
          <t>Not started</t>
        </is>
      </c>
    </row>
    <row r="63">
      <c r="A63" s="3" t="inlineStr">
        <is>
          <t>UX (UX)</t>
        </is>
      </c>
      <c r="B63" s="3" t="inlineStr">
        <is>
          <t>UX-042</t>
        </is>
      </c>
      <c r="C63" s="3" t="inlineStr">
        <is>
          <t>Document signing: send flow (recipients, bulk, order), click-to-place field editor with keyboard positioning | M8 | L</t>
        </is>
      </c>
      <c r="D63" s="3" t="inlineStr">
        <is>
          <t>05-UX-AND-DESIGN.md</t>
        </is>
      </c>
      <c r="E63" s="3" t="inlineStr">
        <is>
          <t>Not started</t>
        </is>
      </c>
    </row>
    <row r="64">
      <c r="A64" s="3" t="inlineStr">
        <is>
          <t>UX (UX)</t>
        </is>
      </c>
      <c r="B64" s="3" t="inlineStr">
        <is>
          <t>UX-043</t>
        </is>
      </c>
      <c r="C64" s="3" t="inlineStr">
        <is>
          <t>Signing ceremony: mobile-first guided fields, adopt signature, Part 11 re-auth, decline, completion certificate view | M8 | L</t>
        </is>
      </c>
      <c r="D64" s="3" t="inlineStr">
        <is>
          <t>05-UX-AND-DESIGN.md</t>
        </is>
      </c>
      <c r="E64" s="3" t="inlineStr">
        <is>
          <t>Not started</t>
        </is>
      </c>
    </row>
    <row r="65">
      <c r="A65" s="3" t="inlineStr">
        <is>
          <t>UX (UX)</t>
        </is>
      </c>
      <c r="B65" s="3" t="inlineStr">
        <is>
          <t>UX-044</t>
        </is>
      </c>
      <c r="C65" s="3" t="inlineStr">
        <is>
          <t>Documents › Sent envelope tracking with per-recipient status, remind/void/resend | M8 | M</t>
        </is>
      </c>
      <c r="D65" s="3" t="inlineStr">
        <is>
          <t>05-UX-AND-DESIGN.md</t>
        </is>
      </c>
      <c r="E65" s="3" t="inlineStr">
        <is>
          <t>Not started</t>
        </is>
      </c>
    </row>
    <row r="66">
      <c r="A66" s="3" t="inlineStr">
        <is>
          <t>UX (UX)</t>
        </is>
      </c>
      <c r="B66" s="3" t="inlineStr">
        <is>
          <t>UX-045</t>
        </is>
      </c>
      <c r="C66" s="3" t="inlineStr">
        <is>
          <t>Visual language spec and anti-pattern review checklist in design review / PR template | M1 | S</t>
        </is>
      </c>
      <c r="D66" s="3" t="inlineStr">
        <is>
          <t>05-UX-AND-DESIGN.md</t>
        </is>
      </c>
      <c r="E66" s="3" t="inlineStr">
        <is>
          <t>Not started</t>
        </is>
      </c>
    </row>
    <row r="67">
      <c r="A67" s="3" t="inlineStr">
        <is>
          <t>UX (UX)</t>
        </is>
      </c>
      <c r="B67" s="3" t="inlineStr">
        <is>
          <t>UX-046</t>
        </is>
      </c>
      <c r="C67" s="3" t="inlineStr">
        <is>
          <t>Normative token package (type, spacing, targets, contrast, radius, elevation, motion) + CI lint banning raw values | M1 | M</t>
        </is>
      </c>
      <c r="D67" s="3" t="inlineStr">
        <is>
          <t>05-UX-AND-DESIGN.md</t>
        </is>
      </c>
      <c r="E67" s="3" t="inlineStr">
        <is>
          <t>Not started</t>
        </is>
      </c>
    </row>
    <row r="68">
      <c r="A68" s="3" t="inlineStr">
        <is>
          <t>UX (UX)</t>
        </is>
      </c>
      <c r="B68" s="3" t="inlineStr">
        <is>
          <t>UX-047</t>
        </is>
      </c>
      <c r="C68" s="3" t="inlineStr">
        <is>
          <t>Accent → accessible palette derivation with auto-adjust/reject and branding preview | M2 | M</t>
        </is>
      </c>
      <c r="D68" s="3" t="inlineStr">
        <is>
          <t>05-UX-AND-DESIGN.md</t>
        </is>
      </c>
      <c r="E68" s="3" t="inlineStr">
        <is>
          <t>Not started</t>
        </is>
      </c>
    </row>
    <row r="69">
      <c r="A69" s="3" t="inlineStr">
        <is>
          <t>UX (UX)</t>
        </is>
      </c>
      <c r="B69" s="3" t="inlineStr">
        <is>
          <t>UX-048</t>
        </is>
      </c>
      <c r="C69" s="3" t="inlineStr">
        <is>
          <t>Personal display preferences (text size 100–150%, density, theme, reduced motion, high contrast, underline links) | M3 | M</t>
        </is>
      </c>
      <c r="D69" s="3" t="inlineStr">
        <is>
          <t>05-UX-AND-DESIGN.md</t>
        </is>
      </c>
      <c r="E69" s="3" t="inlineStr">
        <is>
          <t>Not started</t>
        </is>
      </c>
    </row>
    <row r="70">
      <c r="A70" s="3" t="inlineStr">
        <is>
          <t>UX (UX)</t>
        </is>
      </c>
      <c r="B70" s="3" t="inlineStr">
        <is>
          <t>UX-049</t>
        </is>
      </c>
      <c r="C70" s="3" t="inlineStr">
        <is>
          <t>Environment conformance: 320px reflow, 200/400% zoom, forced-colors, prefers-contrast, print styles: automated visual tests | M3→M10 | M</t>
        </is>
      </c>
      <c r="D70" s="3" t="inlineStr">
        <is>
          <t>05-UX-AND-DESIGN.md</t>
        </is>
      </c>
      <c r="E70" s="3" t="inlineStr">
        <is>
          <t>Not started</t>
        </is>
      </c>
    </row>
    <row r="71">
      <c r="A71" s="3" t="inlineStr">
        <is>
          <t>Integrations (INT)</t>
        </is>
      </c>
      <c r="B71" s="3" t="inlineStr">
        <is>
          <t>INT-001</t>
        </is>
      </c>
      <c r="C71" s="3" t="inlineStr">
        <is>
          <t>OIDC SSO (any IdP; Keycloak is the reference) | IdentityProvider | P1 | Per-workspace config; auth code + PKCE; domain-verified auto-join; step-up via `max_age`/`acr_values`</t>
        </is>
      </c>
      <c r="D71" s="3" t="inlineStr">
        <is>
          <t>13-INTEGRATIONS.md</t>
        </is>
      </c>
      <c r="E71" s="3" t="inlineStr">
        <is>
          <t>Not started</t>
        </is>
      </c>
    </row>
    <row r="72">
      <c r="A72" s="3" t="inlineStr">
        <is>
          <t>Integrations (INT)</t>
        </is>
      </c>
      <c r="B72" s="3" t="inlineStr">
        <is>
          <t>INT-002</t>
        </is>
      </c>
      <c r="C72" s="3" t="inlineStr">
        <is>
          <t>SAML 2.0 via broker IdP | IdentityProvider | P1 | No in-process XML-DSig ([ADR-0011](adr/ADR-0011-authorization-engine.md))</t>
        </is>
      </c>
      <c r="D72" s="3" t="inlineStr">
        <is>
          <t>13-INTEGRATIONS.md</t>
        </is>
      </c>
      <c r="E72" s="3" t="inlineStr">
        <is>
          <t>Not started</t>
        </is>
      </c>
    </row>
    <row r="73">
      <c r="A73" s="3" t="inlineStr">
        <is>
          <t>Integrations (INT)</t>
        </is>
      </c>
      <c r="B73" s="3" t="inlineStr">
        <is>
          <t>INT-003</t>
        </is>
      </c>
      <c r="C73" s="3" t="inlineStr">
        <is>
          <t>SCIM 2.0 server (Users, Groups, enterprise `manager`) | DirectorySource | P1 | Own endpoints over the `scim_v2` types; per-workspace bearer token</t>
        </is>
      </c>
      <c r="D73" s="3" t="inlineStr">
        <is>
          <t>13-INTEGRATIONS.md</t>
        </is>
      </c>
      <c r="E73" s="3" t="inlineStr">
        <is>
          <t>Not started</t>
        </is>
      </c>
    </row>
    <row r="74">
      <c r="A74" s="3" t="inlineStr">
        <is>
          <t>Integrations (INT)</t>
        </is>
      </c>
      <c r="B74" s="3" t="inlineStr">
        <is>
          <t>INT-004</t>
        </is>
      </c>
      <c r="C74" s="3" t="inlineStr">
        <is>
          <t>Outbound webhooks | NotificationChannel | P1 | Standard Webhooks</t>
        </is>
      </c>
      <c r="D74" s="3" t="inlineStr">
        <is>
          <t>13-INTEGRATIONS.md</t>
        </is>
      </c>
      <c r="E74" s="3" t="inlineStr">
        <is>
          <t>Not started</t>
        </is>
      </c>
    </row>
    <row r="75">
      <c r="A75" s="3" t="inlineStr">
        <is>
          <t>Integrations (INT)</t>
        </is>
      </c>
      <c r="B75" s="3" t="inlineStr">
        <is>
          <t>INT-005</t>
        </is>
      </c>
      <c r="C75" s="3" t="inlineStr">
        <is>
          <t>Generic HTTP action | ConnectorAction | P1 | JSON in/out, templated body, typed error mapping</t>
        </is>
      </c>
      <c r="D75" s="3" t="inlineStr">
        <is>
          <t>13-INTEGRATIONS.md</t>
        </is>
      </c>
      <c r="E75" s="3" t="inlineStr">
        <is>
          <t>Not started</t>
        </is>
      </c>
    </row>
    <row r="76">
      <c r="A76" s="3" t="inlineStr">
        <is>
          <t>Integrations (INT)</t>
        </is>
      </c>
      <c r="B76" s="3" t="inlineStr">
        <is>
          <t>INT-006</t>
        </is>
      </c>
      <c r="C76" s="3" t="inlineStr">
        <is>
          <t>Inbound events API | InboundEvent | P1 | Start instance / signal correlation</t>
        </is>
      </c>
      <c r="D76" s="3" t="inlineStr">
        <is>
          <t>13-INTEGRATIONS.md</t>
        </is>
      </c>
      <c r="E76" s="3" t="inlineStr">
        <is>
          <t>Not started</t>
        </is>
      </c>
    </row>
    <row r="77">
      <c r="A77" s="3" t="inlineStr">
        <is>
          <t>Integrations (INT)</t>
        </is>
      </c>
      <c r="B77" s="3" t="inlineStr">
        <is>
          <t>INT-007</t>
        </is>
      </c>
      <c r="C77" s="3" t="inlineStr">
        <is>
          <t>iCal holiday/calendar feed import | (calendar import) | P1 | Read-only, scheduled refresh, creates a new calendar version</t>
        </is>
      </c>
      <c r="D77" s="3" t="inlineStr">
        <is>
          <t>13-INTEGRATIONS.md</t>
        </is>
      </c>
      <c r="E77" s="3" t="inlineStr">
        <is>
          <t>Not started</t>
        </is>
      </c>
    </row>
    <row r="78">
      <c r="A78" s="3" t="inlineStr">
        <is>
          <t>Integrations (INT)</t>
        </is>
      </c>
      <c r="B78" s="3" t="inlineStr">
        <is>
          <t>INT-008</t>
        </is>
      </c>
      <c r="C78" s="3" t="inlineStr">
        <is>
          <t>Web push (PWA) | NotificationChannel | P1 | VAPID; no content in payload, just "you have work" + deep link</t>
        </is>
      </c>
      <c r="D78" s="3" t="inlineStr">
        <is>
          <t>13-INTEGRATIONS.md</t>
        </is>
      </c>
      <c r="E78" s="3" t="inlineStr">
        <is>
          <t>Not started</t>
        </is>
      </c>
    </row>
    <row r="79">
      <c r="A79" s="3" t="inlineStr">
        <is>
          <t>Integrations (INT)</t>
        </is>
      </c>
      <c r="B79" s="3" t="inlineStr">
        <is>
          <t>INT-009</t>
        </is>
      </c>
      <c r="C79" s="3" t="inlineStr">
        <is>
          <t>Chat/host-platform connector framework (§4) | IdentityProvider, DirectorySource, NotificationChannel, embed | P2 | Shared contract for all chat platforms</t>
        </is>
      </c>
      <c r="D79" s="3" t="inlineStr">
        <is>
          <t>13-INTEGRATIONS.md</t>
        </is>
      </c>
      <c r="E79" s="3" t="inlineStr">
        <is>
          <t>Not started</t>
        </is>
      </c>
    </row>
    <row r="80">
      <c r="A80" s="3" t="inlineStr">
        <is>
          <t>Integrations (INT)</t>
        </is>
      </c>
      <c r="B80" s="3" t="inlineStr">
        <is>
          <t>INT-010</t>
        </is>
      </c>
      <c r="C80" s="3" t="inlineStr">
        <is>
          <t>Slack / Microsoft Teams-style chat cards | NotificationChannel (actionable) | P2 | Built on the §4 contract</t>
        </is>
      </c>
      <c r="D80" s="3" t="inlineStr">
        <is>
          <t>13-INTEGRATIONS.md</t>
        </is>
      </c>
      <c r="E80" s="3" t="inlineStr">
        <is>
          <t>Not started</t>
        </is>
      </c>
    </row>
    <row r="81">
      <c r="A81" s="3" t="inlineStr">
        <is>
          <t>Integrations (INT)</t>
        </is>
      </c>
      <c r="B81" s="3" t="inlineStr">
        <is>
          <t>INT-011</t>
        </is>
      </c>
      <c r="C81" s="3" t="inlineStr">
        <is>
          <t>Google Workspace / Microsoft 365 calendar &amp; mail | NotificationChannel, calendar | P2 | OOO detection → suggested substitution (never automatic)</t>
        </is>
      </c>
      <c r="D81" s="3" t="inlineStr">
        <is>
          <t>13-INTEGRATIONS.md</t>
        </is>
      </c>
      <c r="E81" s="3" t="inlineStr">
        <is>
          <t>Not started</t>
        </is>
      </c>
    </row>
    <row r="82">
      <c r="A82" s="3" t="inlineStr">
        <is>
          <t>Integrations (INT)</t>
        </is>
      </c>
      <c r="B82" s="3" t="inlineStr">
        <is>
          <t>INT-012</t>
        </is>
      </c>
      <c r="C82" s="3" t="inlineStr">
        <is>
          <t>HRIS: generic CSV/SFTP drop | DirectorySource | P2 | Scheduled, schema-mapped</t>
        </is>
      </c>
      <c r="D82" s="3" t="inlineStr">
        <is>
          <t>13-INTEGRATIONS.md</t>
        </is>
      </c>
      <c r="E82" s="3" t="inlineStr">
        <is>
          <t>Not started</t>
        </is>
      </c>
    </row>
    <row r="83">
      <c r="A83" s="3" t="inlineStr">
        <is>
          <t>Integrations (INT)</t>
        </is>
      </c>
      <c r="B83" s="3" t="inlineStr">
        <is>
          <t>INT-013</t>
        </is>
      </c>
      <c r="C83" s="3" t="inlineStr">
        <is>
          <t>HRIS via HTTP (BambooHR/Workday-style APIs) | DirectorySource, ConnectorAction | P2 | Manager links, hire/termination events → onboarding/offboarding templates</t>
        </is>
      </c>
      <c r="D83" s="3" t="inlineStr">
        <is>
          <t>13-INTEGRATIONS.md</t>
        </is>
      </c>
      <c r="E83" s="3" t="inlineStr">
        <is>
          <t>Not started</t>
        </is>
      </c>
    </row>
    <row r="84">
      <c r="A84" s="3" t="inlineStr">
        <is>
          <t>Integrations (INT)</t>
        </is>
      </c>
      <c r="B84" s="3" t="inlineStr">
        <is>
          <t>INT-014</t>
        </is>
      </c>
      <c r="C84" s="3" t="inlineStr">
        <is>
          <t>ERP/accounting via HTTP (PO creation, vendor master) | ConnectorAction | P2 | Hook points in `fin.*` templates</t>
        </is>
      </c>
      <c r="D84" s="3" t="inlineStr">
        <is>
          <t>13-INTEGRATIONS.md</t>
        </is>
      </c>
      <c r="E84" s="3" t="inlineStr">
        <is>
          <t>Not started</t>
        </is>
      </c>
    </row>
    <row r="85">
      <c r="A85" s="3" t="inlineStr">
        <is>
          <t>Integrations (INT)</t>
        </is>
      </c>
      <c r="B85" s="3" t="inlineStr">
        <is>
          <t>INT-015</t>
        </is>
      </c>
      <c r="C85" s="3" t="inlineStr">
        <is>
          <t>E-signature QTSP (CSC API v2, PAdES) | ConnectorAction | P2 | ESIG-09 QES path; plugs into the document e-signing module as signature type `qes` ([20 §2.16](20-WORKSPACE-CONFIGURATION.md))</t>
        </is>
      </c>
      <c r="D85" s="3" t="inlineStr">
        <is>
          <t>13-INTEGRATIONS.md</t>
        </is>
      </c>
      <c r="E85" s="3" t="inlineStr">
        <is>
          <t>Not started</t>
        </is>
      </c>
    </row>
    <row r="86">
      <c r="A86" s="3" t="inlineStr">
        <is>
          <t>Integrations (INT)</t>
        </is>
      </c>
      <c r="B86" s="3" t="inlineStr">
        <is>
          <t>INT-016</t>
        </is>
      </c>
      <c r="C86" s="3" t="inlineStr">
        <is>
          <t>OpenDoc / CasualOffice document engine | FileConverter | P2 | `.docx` SOP import → blocks, high-fidelity preview, DOCX export</t>
        </is>
      </c>
      <c r="D86" s="3" t="inlineStr">
        <is>
          <t>13-INTEGRATIONS.md</t>
        </is>
      </c>
      <c r="E86" s="3" t="inlineStr">
        <is>
          <t>Not started</t>
        </is>
      </c>
    </row>
    <row r="87">
      <c r="A87" s="3" t="inlineStr">
        <is>
          <t>Integrations (INT)</t>
        </is>
      </c>
      <c r="B87" s="3" t="inlineStr">
        <is>
          <t>INT-017</t>
        </is>
      </c>
      <c r="C87" s="3" t="inlineStr">
        <is>
          <t>SIEM streaming (syslog/CEF, JSON-HTTPS, OTel logs) | (audit stream) | P1/P2 | FR-T08</t>
        </is>
      </c>
      <c r="D87" s="3" t="inlineStr">
        <is>
          <t>13-INTEGRATIONS.md</t>
        </is>
      </c>
      <c r="E87" s="3" t="inlineStr">
        <is>
          <t>Not started</t>
        </is>
      </c>
    </row>
    <row r="88">
      <c r="A88" s="3" t="inlineStr">
        <is>
          <t>Integrations (INT)</t>
        </is>
      </c>
      <c r="B88" s="3" t="inlineStr">
        <is>
          <t>INT-018</t>
        </is>
      </c>
      <c r="C88" s="3" t="inlineStr">
        <is>
          <t>NATS JetStream / Kafka event bus | (bus adapter) | P2 | For large installs; outbox stays the source of truth</t>
        </is>
      </c>
      <c r="D88" s="3" t="inlineStr">
        <is>
          <t>13-INTEGRATIONS.md</t>
        </is>
      </c>
      <c r="E88" s="3" t="inlineStr">
        <is>
          <t>Not started</t>
        </is>
      </c>
    </row>
    <row r="89">
      <c r="A89" s="3" t="inlineStr">
        <is>
          <t>Integrations (INT)</t>
        </is>
      </c>
      <c r="B89" s="3" t="inlineStr">
        <is>
          <t>INT-019</t>
        </is>
      </c>
      <c r="C89" s="3" t="inlineStr">
        <is>
          <t>Third-party connector protocol v1 + SDK (Rust, TS) | ConnectorAction | P2 | Sandboxed containers</t>
        </is>
      </c>
      <c r="D89" s="3" t="inlineStr">
        <is>
          <t>13-INTEGRATIONS.md</t>
        </is>
      </c>
      <c r="E89" s="3" t="inlineStr">
        <is>
          <t>Not started</t>
        </is>
      </c>
    </row>
    <row r="90">
      <c r="A90" s="3" t="inlineStr">
        <is>
          <t>Integrations (INT)</t>
        </is>
      </c>
      <c r="B90" s="3" t="inlineStr">
        <is>
          <t>INT-020</t>
        </is>
      </c>
      <c r="C90" s="3" t="inlineStr">
        <is>
          <t>Template hook points (connectors mapped at install) | — | P2 | E.g. `hr.employee-onboarding` "provision accounts" step bound to HTTP/HRIS</t>
        </is>
      </c>
      <c r="D90" s="3" t="inlineStr">
        <is>
          <t>13-INTEGRATIONS.md</t>
        </is>
      </c>
      <c r="E90" s="3" t="inlineStr">
        <is>
          <t>Not started</t>
        </is>
      </c>
    </row>
    <row r="91">
      <c r="A91" s="3" t="inlineStr">
        <is>
          <t>Integrations (INT)</t>
        </is>
      </c>
      <c r="B91" s="3" t="inlineStr">
        <is>
          <t>INT-029</t>
        </is>
      </c>
      <c r="C91" s="3" t="inlineStr">
        <is>
          <t>Announcements &amp; campaign reminders to chat channels (Slack/Teams/other chat cards with Ack button → confirm + re-validate) | NotificationChannel (actionable) | P2 | Same card contract as approvals (§4.4); policy/e-sign acks needing step-up show Open only</t>
        </is>
      </c>
      <c r="D91" s="3" t="inlineStr">
        <is>
          <t>13-INTEGRATIONS.md</t>
        </is>
      </c>
      <c r="E91" s="3" t="inlineStr">
        <is>
          <t>Not started</t>
        </is>
      </c>
    </row>
    <row r="92">
      <c r="A92" s="3" t="inlineStr">
        <is>
          <t>Integrations (INT)</t>
        </is>
      </c>
      <c r="B92" s="3" t="inlineStr">
        <is>
          <t>INT-030</t>
        </is>
      </c>
      <c r="C92" s="3" t="inlineStr">
        <is>
          <t>HRIS joiner events → `policies.attest_on_join` campaign enrolment | DirectorySource | P2 | Standalone path uses member-created event</t>
        </is>
      </c>
      <c r="D92" s="3" t="inlineStr">
        <is>
          <t>13-INTEGRATIONS.md</t>
        </is>
      </c>
      <c r="E92" s="3" t="inlineStr">
        <is>
          <t>Not started</t>
        </is>
      </c>
    </row>
    <row r="93">
      <c r="A93" s="3" t="inlineStr">
        <is>
          <t>Integrations (INT)</t>
        </is>
      </c>
      <c r="B93" s="3" t="inlineStr">
        <is>
          <t>INT-021</t>
        </is>
      </c>
      <c r="C93" s="3" t="inlineStr">
        <is>
          <t>Port traits + in-process built-in adapters (SMTP, in-app, local directory, local auth) | P0 | M | Outbox (EXEC)</t>
        </is>
      </c>
      <c r="D93" s="3" t="inlineStr">
        <is>
          <t>13-INTEGRATIONS.md</t>
        </is>
      </c>
      <c r="E93" s="3" t="inlineStr">
        <is>
          <t>Not started</t>
        </is>
      </c>
    </row>
    <row r="94">
      <c r="A94" s="3" t="inlineStr">
        <is>
          <t>Integrations (INT)</t>
        </is>
      </c>
      <c r="B94" s="3" t="inlineStr">
        <is>
          <t>INT-022</t>
        </is>
      </c>
      <c r="C94" s="3" t="inlineStr">
        <is>
          <t>Outbox dispatcher with leases, per-instance ordering, retries, DLQ, incidents | P0 | L | Runtime core</t>
        </is>
      </c>
      <c r="D94" s="3" t="inlineStr">
        <is>
          <t>13-INTEGRATIONS.md</t>
        </is>
      </c>
      <c r="E94" s="3" t="inlineStr">
        <is>
          <t>Not started</t>
        </is>
      </c>
    </row>
    <row r="95">
      <c r="A95" s="3" t="inlineStr">
        <is>
          <t>Integrations (INT)</t>
        </is>
      </c>
      <c r="B95" s="3" t="inlineStr">
        <is>
          <t>INT-023</t>
        </is>
      </c>
      <c r="C95" s="3" t="inlineStr">
        <is>
          <t>SMTP adapter with localised templates, bounce handling (VERP/webhook optional) | P0 | M | INT-021</t>
        </is>
      </c>
      <c r="D95" s="3" t="inlineStr">
        <is>
          <t>13-INTEGRATIONS.md</t>
        </is>
      </c>
      <c r="E95" s="3" t="inlineStr">
        <is>
          <t>Not started</t>
        </is>
      </c>
    </row>
    <row r="96">
      <c r="A96" s="3" t="inlineStr">
        <is>
          <t>Integrations (INT)</t>
        </is>
      </c>
      <c r="B96" s="3" t="inlineStr">
        <is>
          <t>INT-024</t>
        </is>
      </c>
      <c r="C96" s="3" t="inlineStr">
        <is>
          <t>Connector manifest schema + registry + platform allowlist + workspace enablement UI | P1 | M | Config (CFG)</t>
        </is>
      </c>
      <c r="D96" s="3" t="inlineStr">
        <is>
          <t>13-INTEGRATIONS.md</t>
        </is>
      </c>
      <c r="E96" s="3" t="inlineStr">
        <is>
          <t>Not started</t>
        </is>
      </c>
    </row>
    <row r="97">
      <c r="A97" s="3" t="inlineStr">
        <is>
          <t>Integrations (INT)</t>
        </is>
      </c>
      <c r="B97" s="3" t="inlineStr">
        <is>
          <t>INT-025</t>
        </is>
      </c>
      <c r="C97" s="3" t="inlineStr">
        <is>
          <t>Connector-runner process + egress proxy + SSRF test suite | P1 | L | INT-024</t>
        </is>
      </c>
      <c r="D97" s="3" t="inlineStr">
        <is>
          <t>13-INTEGRATIONS.md</t>
        </is>
      </c>
      <c r="E97" s="3" t="inlineStr">
        <is>
          <t>Not started</t>
        </is>
      </c>
    </row>
    <row r="98">
      <c r="A98" s="3" t="inlineStr">
        <is>
          <t>Integrations (INT)</t>
        </is>
      </c>
      <c r="B98" s="3" t="inlineStr">
        <is>
          <t>INT-026</t>
        </is>
      </c>
      <c r="C98" s="3" t="inlineStr">
        <is>
          <t>Secret store abstraction (DB envelope-encrypted default; Vault/KMS adapters) | P1 | M | Key hierarchy</t>
        </is>
      </c>
      <c r="D98" s="3" t="inlineStr">
        <is>
          <t>13-INTEGRATIONS.md</t>
        </is>
      </c>
      <c r="E98" s="3" t="inlineStr">
        <is>
          <t>Not started</t>
        </is>
      </c>
    </row>
    <row r="99">
      <c r="A99" s="3" t="inlineStr">
        <is>
          <t>Integrations (INT)</t>
        </is>
      </c>
      <c r="B99" s="3" t="inlineStr">
        <is>
          <t>INT-001…008</t>
        </is>
      </c>
      <c r="C99" s="3" t="inlineStr">
        <is>
          <t>P1 catalogue items (§3) | P1 | S–L each | INT-024/025</t>
        </is>
      </c>
      <c r="D99" s="3" t="inlineStr">
        <is>
          <t>13-INTEGRATIONS.md</t>
        </is>
      </c>
      <c r="E99" s="3" t="inlineStr">
        <is>
          <t>Not started</t>
        </is>
      </c>
    </row>
    <row r="100">
      <c r="A100" s="3" t="inlineStr">
        <is>
          <t>Integrations (INT)</t>
        </is>
      </c>
      <c r="B100" s="3" t="inlineStr">
        <is>
          <t>INT-009…020</t>
        </is>
      </c>
      <c r="C100" s="3" t="inlineStr">
        <is>
          <t>P2 catalogue items (§3) | P2 | M–L each | Pilot feedback; OQ-M answers</t>
        </is>
      </c>
      <c r="D100" s="3" t="inlineStr">
        <is>
          <t>13-INTEGRATIONS.md</t>
        </is>
      </c>
      <c r="E100" s="3" t="inlineStr">
        <is>
          <t>Not started</t>
        </is>
      </c>
    </row>
    <row r="101">
      <c r="A101" s="3" t="inlineStr">
        <is>
          <t>Integrations (INT)</t>
        </is>
      </c>
      <c r="B101" s="3" t="inlineStr">
        <is>
          <t>INT-027</t>
        </is>
      </c>
      <c r="C101" s="3" t="inlineStr">
        <is>
          <t>OpenAPI generation + oasdiff CI gate + SDK generation pipeline | P0 (spec) / P1 (SDKs) | M | API skeleton</t>
        </is>
      </c>
      <c r="D101" s="3" t="inlineStr">
        <is>
          <t>13-INTEGRATIONS.md</t>
        </is>
      </c>
      <c r="E101" s="3" t="inlineStr">
        <is>
          <t>Not started</t>
        </is>
      </c>
    </row>
    <row r="102">
      <c r="A102" s="3" t="inlineStr">
        <is>
          <t>Integrations (INT)</t>
        </is>
      </c>
      <c r="B102" s="3" t="inlineStr">
        <is>
          <t>INT-028</t>
        </is>
      </c>
      <c r="C102" s="3" t="inlineStr">
        <is>
          <t>`procera` CLI (auth, import/export, test-run, verify) | P1 | M | INT-027, FR-W12</t>
        </is>
      </c>
      <c r="D102" s="3" t="inlineStr">
        <is>
          <t>13-INTEGRATIONS.md</t>
        </is>
      </c>
      <c r="E102" s="3" t="inlineStr">
        <is>
          <t>Not started</t>
        </is>
      </c>
    </row>
    <row r="103">
      <c r="A103" s="3" t="inlineStr">
        <is>
          <t>Config (CFG)</t>
        </is>
      </c>
      <c r="B103" s="3" t="inlineStr">
        <is>
          <t>CFG-001</t>
        </is>
      </c>
      <c r="C103" s="3" t="inlineStr">
        <is>
          <t>Settings catalogue framework in code (schema, comparator, floor, scopes, perms) + generated docs | P0 | M | —</t>
        </is>
      </c>
      <c r="D103" s="3" t="inlineStr">
        <is>
          <t>20-WORKSPACE-CONFIGURATION.md</t>
        </is>
      </c>
      <c r="E103" s="3" t="inlineStr">
        <is>
          <t>Not started</t>
        </is>
      </c>
    </row>
    <row r="104">
      <c r="A104" s="3" t="inlineStr">
        <is>
          <t>Config (CFG)</t>
        </is>
      </c>
      <c r="B104" s="3" t="inlineStr">
        <is>
          <t>CFG-002</t>
        </is>
      </c>
      <c r="C104" s="3" t="inlineStr">
        <is>
          <t>Settings storage, revisions, RLS, effective-resolution engine + property tests (never looser than floor) | P0 | M | CFG-001</t>
        </is>
      </c>
      <c r="D104" s="3" t="inlineStr">
        <is>
          <t>20-WORKSPACE-CONFIGURATION.md</t>
        </is>
      </c>
      <c r="E104" s="3" t="inlineStr">
        <is>
          <t>Not started</t>
        </is>
      </c>
    </row>
    <row r="105">
      <c r="A105" s="3" t="inlineStr">
        <is>
          <t>Config (CFG)</t>
        </is>
      </c>
      <c r="B105" s="3" t="inlineStr">
        <is>
          <t>CFG-003</t>
        </is>
      </c>
      <c r="C105" s="3" t="inlineStr">
        <is>
          <t>Effective-settings explainer API + UI | P0 | S | CFG-002</t>
        </is>
      </c>
      <c r="D105" s="3" t="inlineStr">
        <is>
          <t>20-WORKSPACE-CONFIGURATION.md</t>
        </is>
      </c>
      <c r="E105" s="3" t="inlineStr">
        <is>
          <t>Not started</t>
        </is>
      </c>
    </row>
    <row r="106">
      <c r="A106" s="3" t="inlineStr">
        <is>
          <t>Config (CFG)</t>
        </is>
      </c>
      <c r="B106" s="3" t="inlineStr">
        <is>
          <t>CFG-004</t>
        </is>
      </c>
      <c r="C106" s="3" t="inlineStr">
        <is>
          <t>Cache + outbox invalidation; ⚡ key direct-read paths | P0 | S | CFG-002, outbox</t>
        </is>
      </c>
      <c r="D106" s="3" t="inlineStr">
        <is>
          <t>20-WORKSPACE-CONFIGURATION.md</t>
        </is>
      </c>
      <c r="E106" s="3" t="inlineStr">
        <is>
          <t>Not started</t>
        </is>
      </c>
    </row>
    <row r="107">
      <c r="A107" s="3" t="inlineStr">
        <is>
          <t>Config (CFG)</t>
        </is>
      </c>
      <c r="B107" s="3" t="inlineStr">
        <is>
          <t>CFG-005</t>
        </is>
      </c>
      <c r="C107" s="3" t="inlineStr">
        <is>
          <t>Workspace admin settings UI (auto-generated forms grouped per §2, search across settings) | P0 | L | CFG-001</t>
        </is>
      </c>
      <c r="D107" s="3" t="inlineStr">
        <is>
          <t>20-WORKSPACE-CONFIGURATION.md</t>
        </is>
      </c>
      <c r="E107" s="3" t="inlineStr">
        <is>
          <t>Not started</t>
        </is>
      </c>
    </row>
    <row r="108">
      <c r="A108" s="3" t="inlineStr">
        <is>
          <t>Config (CFG)</t>
        </is>
      </c>
      <c r="B108" s="3" t="inlineStr">
        <is>
          <t>CFG-006</t>
        </is>
      </c>
      <c r="C108" s="3" t="inlineStr">
        <is>
          <t>System Admin console: workspace lifecycle, plans/quotas, policy floors, email/storage/scan config | P0 | L | CFG-002</t>
        </is>
      </c>
      <c r="D108" s="3" t="inlineStr">
        <is>
          <t>20-WORKSPACE-CONFIGURATION.md</t>
        </is>
      </c>
      <c r="E108" s="3" t="inlineStr">
        <is>
          <t>Not started</t>
        </is>
      </c>
    </row>
    <row r="109">
      <c r="A109" s="3" t="inlineStr">
        <is>
          <t>Config (CFG)</t>
        </is>
      </c>
      <c r="B109" s="3" t="inlineStr">
        <is>
          <t>CFG-007</t>
        </is>
      </c>
      <c r="C109" s="3" t="inlineStr">
        <is>
          <t>Branding pipeline (logo sanitization, accent contrast derivation, email theming) | P0 | M | CFG-005</t>
        </is>
      </c>
      <c r="D109" s="3" t="inlineStr">
        <is>
          <t>20-WORKSPACE-CONFIGURATION.md</t>
        </is>
      </c>
      <c r="E109" s="3" t="inlineStr">
        <is>
          <t>Not started</t>
        </is>
      </c>
    </row>
    <row r="110">
      <c r="A110" s="3" t="inlineStr">
        <is>
          <t>Config (CFG)</t>
        </is>
      </c>
      <c r="B110" s="3" t="inlineStr">
        <is>
          <t>CFG-008</t>
        </is>
      </c>
      <c r="C110" s="3" t="inlineStr">
        <is>
          <t>Terminology overrides across UI/email/export (i18n layer integration) | P0 | M | i18n framework</t>
        </is>
      </c>
      <c r="D110" s="3" t="inlineStr">
        <is>
          <t>20-WORKSPACE-CONFIGURATION.md</t>
        </is>
      </c>
      <c r="E110" s="3" t="inlineStr">
        <is>
          <t>Not started</t>
        </is>
      </c>
    </row>
    <row r="111">
      <c r="A111" s="3" t="inlineStr">
        <is>
          <t>Config (CFG)</t>
        </is>
      </c>
      <c r="B111" s="3" t="inlineStr">
        <is>
          <t>CFG-009</t>
        </is>
      </c>
      <c r="C111" s="3" t="inlineStr">
        <is>
          <t>Calendars &amp; holiday sets with versions; iCal import (P1) | P0 | M | CFG-002</t>
        </is>
      </c>
      <c r="D111" s="3" t="inlineStr">
        <is>
          <t>20-WORKSPACE-CONFIGURATION.md</t>
        </is>
      </c>
      <c r="E111" s="3" t="inlineStr">
        <is>
          <t>Not started</t>
        </is>
      </c>
    </row>
    <row r="112">
      <c r="A112" s="3" t="inlineStr">
        <is>
          <t>Config (CFG)</t>
        </is>
      </c>
      <c r="B112" s="3" t="inlineStr">
        <is>
          <t>CFG-010</t>
        </is>
      </c>
      <c r="C112" s="3" t="inlineStr">
        <is>
          <t>Custom roles editor with permission catalogue picker, scope, preview-of-effect, step-up | P0 | L | AuthZ engine</t>
        </is>
      </c>
      <c r="D112" s="3" t="inlineStr">
        <is>
          <t>20-WORKSPACE-CONFIGURATION.md</t>
        </is>
      </c>
      <c r="E112" s="3" t="inlineStr">
        <is>
          <t>Not started</t>
        </is>
      </c>
    </row>
    <row r="113">
      <c r="A113" s="3" t="inlineStr">
        <is>
          <t>Config (CFG)</t>
        </is>
      </c>
      <c r="B113" s="3" t="inlineStr">
        <is>
          <t>CFG-011</t>
        </is>
      </c>
      <c r="C113" s="3" t="inlineStr">
        <is>
          <t>Settings history + restore UI | P1 | S | CFG-002</t>
        </is>
      </c>
      <c r="D113" s="3" t="inlineStr">
        <is>
          <t>20-WORKSPACE-CONFIGURATION.md</t>
        </is>
      </c>
      <c r="E113" s="3" t="inlineStr">
        <is>
          <t>Not started</t>
        </is>
      </c>
    </row>
    <row r="114">
      <c r="A114" s="3" t="inlineStr">
        <is>
          <t>Config (CFG)</t>
        </is>
      </c>
      <c r="B114" s="3" t="inlineStr">
        <is>
          <t>CFG-012</t>
        </is>
      </c>
      <c r="C114" s="3" t="inlineStr">
        <is>
          <t>Two-person rule for ⚡/roles/retention changes | P1 | M | Governance review engine</t>
        </is>
      </c>
      <c r="D114" s="3" t="inlineStr">
        <is>
          <t>20-WORKSPACE-CONFIGURATION.md</t>
        </is>
      </c>
      <c r="E114" s="3" t="inlineStr">
        <is>
          <t>Not started</t>
        </is>
      </c>
    </row>
    <row r="115">
      <c r="A115" s="3" t="inlineStr">
        <is>
          <t>Config (CFG)</t>
        </is>
      </c>
      <c r="B115" s="3" t="inlineStr">
        <is>
          <t>CFG-013</t>
        </is>
      </c>
      <c r="C115" s="3" t="inlineStr">
        <is>
          <t>Config-as-code export/import (schema, plan/apply, migrations, secret placeholders) | P1 | M | CFG-002</t>
        </is>
      </c>
      <c r="D115" s="3" t="inlineStr">
        <is>
          <t>20-WORKSPACE-CONFIGURATION.md</t>
        </is>
      </c>
      <c r="E115" s="3" t="inlineStr">
        <is>
          <t>Not started</t>
        </is>
      </c>
    </row>
    <row r="116">
      <c r="A116" s="3" t="inlineStr">
        <is>
          <t>Config (CFG)</t>
        </is>
      </c>
      <c r="B116" s="3" t="inlineStr">
        <is>
          <t>CFG-014</t>
        </is>
      </c>
      <c r="C116" s="3" t="inlineStr">
        <is>
          <t>Sandbox workspace clone (config only) + promotion via CLI | P1 | M | CFG-013, INT-028</t>
        </is>
      </c>
      <c r="D116" s="3" t="inlineStr">
        <is>
          <t>20-WORKSPACE-CONFIGURATION.md</t>
        </is>
      </c>
      <c r="E116" s="3" t="inlineStr">
        <is>
          <t>Not started</t>
        </is>
      </c>
    </row>
    <row r="117">
      <c r="A117" s="3" t="inlineStr">
        <is>
          <t>Config (CFG)</t>
        </is>
      </c>
      <c r="B117" s="3" t="inlineStr">
        <is>
          <t>CFG-015</t>
        </is>
      </c>
      <c r="C117" s="3" t="inlineStr">
        <is>
          <t>Floor-raise clamp job + admin notifications | P0 | S | CFG-002</t>
        </is>
      </c>
      <c r="D117" s="3" t="inlineStr">
        <is>
          <t>20-WORKSPACE-CONFIGURATION.md</t>
        </is>
      </c>
      <c r="E117" s="3" t="inlineStr">
        <is>
          <t>Not started</t>
        </is>
      </c>
    </row>
    <row r="118">
      <c r="A118" s="3" t="inlineStr">
        <is>
          <t>Config (CFG)</t>
        </is>
      </c>
      <c r="B118" s="3" t="inlineStr">
        <is>
          <t>CFG-016</t>
        </is>
      </c>
      <c r="C118" s="3" t="inlineStr">
        <is>
          <t>Separation mode toggle with 24 h notice + permission remap | P1 | M | CFG-010</t>
        </is>
      </c>
      <c r="D118" s="3" t="inlineStr">
        <is>
          <t>20-WORKSPACE-CONFIGURATION.md</t>
        </is>
      </c>
      <c r="E118" s="3" t="inlineStr">
        <is>
          <t>Not started</t>
        </is>
      </c>
    </row>
    <row r="119">
      <c r="A119" s="3" t="inlineStr">
        <is>
          <t>Config (CFG)</t>
        </is>
      </c>
      <c r="B119" s="3" t="inlineStr">
        <is>
          <t>CFG-017</t>
        </is>
      </c>
      <c r="C119" s="3" t="inlineStr">
        <is>
          <t>Configuration profiles (4 presets as schema-validated JSON), pick-at-creation, profile switch via plan/apply | P0 | M | CFG-013 (plan/apply core pulled into P0)</t>
        </is>
      </c>
      <c r="D119" s="3" t="inlineStr">
        <is>
          <t>20-WORKSPACE-CONFIGURATION.md</t>
        </is>
      </c>
      <c r="E119" s="3" t="inlineStr">
        <is>
          <t>Not started</t>
        </is>
      </c>
    </row>
    <row r="120">
      <c r="A120" s="3" t="inlineStr">
        <is>
          <t>Config (CFG)</t>
        </is>
      </c>
      <c r="B120" s="3" t="inlineStr">
        <is>
          <t>CFG-018</t>
        </is>
      </c>
      <c r="C120" s="3" t="inlineStr">
        <is>
          <t>Custom platform profiles (clone/edit) in System Admin console | P1 | S | CFG-017</t>
        </is>
      </c>
      <c r="D120" s="3" t="inlineStr">
        <is>
          <t>20-WORKSPACE-CONFIGURATION.md</t>
        </is>
      </c>
      <c r="E120" s="3" t="inlineStr">
        <is>
          <t>Not started</t>
        </is>
      </c>
    </row>
    <row r="121">
      <c r="A121" s="3" t="inlineStr">
        <is>
          <t>Config (CFG)</t>
        </is>
      </c>
      <c r="B121" s="3" t="inlineStr">
        <is>
          <t>CFG-019</t>
        </is>
      </c>
      <c r="C121" s="3" t="inlineStr">
        <is>
          <t>Delegated (department/collection-scoped) admin: scoped override editing + guard against ⚡ keys | P1 | M | CFG-010</t>
        </is>
      </c>
      <c r="D121" s="3" t="inlineStr">
        <is>
          <t>20-WORKSPACE-CONFIGURATION.md</t>
        </is>
      </c>
      <c r="E121" s="3" t="inlineStr">
        <is>
          <t>Not started</t>
        </is>
      </c>
    </row>
    <row r="122">
      <c r="A122" s="3" t="inlineStr">
        <is>
          <t>Config (CFG)</t>
        </is>
      </c>
      <c r="B122" s="3" t="inlineStr">
        <is>
          <t>CFG-020</t>
        </is>
      </c>
      <c r="C122" s="3" t="inlineStr">
        <is>
          <t>Acknowledgement &amp; Signature Campaign engine: campaign model, audience resolution (snapshot/dynamic), reminders, manager escalation, exemptions, evidence export | P0 | L | Directory, notifications</t>
        </is>
      </c>
      <c r="D122" s="3" t="inlineStr">
        <is>
          <t>20-WORKSPACE-CONFIGURATION.md</t>
        </is>
      </c>
      <c r="E122" s="3" t="inlineStr">
        <is>
          <t>Not started</t>
        </is>
      </c>
    </row>
    <row r="123">
      <c r="A123" s="3" t="inlineStr">
        <is>
          <t>Config (CFG)</t>
        </is>
      </c>
      <c r="B123" s="3" t="inlineStr">
        <is>
          <t>CFG-021</t>
        </is>
      </c>
      <c r="C123" s="3" t="inlineStr">
        <is>
          <t>Campaign settings group (§2.14) + per-module defaults wiring | P0 | S | CFG-020</t>
        </is>
      </c>
      <c r="D123" s="3" t="inlineStr">
        <is>
          <t>20-WORKSPACE-CONFIGURATION.md</t>
        </is>
      </c>
      <c r="E123" s="3" t="inlineStr">
        <is>
          <t>Not started</t>
        </is>
      </c>
    </row>
    <row r="124">
      <c r="A124" s="3" t="inlineStr">
        <is>
          <t>Config (CFG)</t>
        </is>
      </c>
      <c r="B124" s="3" t="inlineStr">
        <is>
          <t>CFG-022</t>
        </is>
      </c>
      <c r="C124" s="3" t="inlineStr">
        <is>
          <t>Read-time / scroll-to-end and quiz support in campaigns | P1 | M | CFG-020</t>
        </is>
      </c>
      <c r="D124" s="3" t="inlineStr">
        <is>
          <t>20-WORKSPACE-CONFIGURATION.md</t>
        </is>
      </c>
      <c r="E124" s="3" t="inlineStr">
        <is>
          <t>Not started</t>
        </is>
      </c>
    </row>
    <row r="125">
      <c r="A125" s="3" t="inlineStr">
        <is>
          <t>Config (CFG)</t>
        </is>
      </c>
      <c r="B125" s="3" t="inlineStr">
        <is>
          <t>CFG-023</t>
        </is>
      </c>
      <c r="C125" s="3" t="inlineStr">
        <is>
          <t>Policies module settings (§2.15) incl. attest-on-join and public read view (sanitized, read-only, rate-limited) | P0/P1 | M | CFG-020, governance lifecycle</t>
        </is>
      </c>
      <c r="D125" s="3" t="inlineStr">
        <is>
          <t>20-WORKSPACE-CONFIGURATION.md</t>
        </is>
      </c>
      <c r="E125" s="3" t="inlineStr">
        <is>
          <t>Not started</t>
        </is>
      </c>
    </row>
    <row r="126">
      <c r="A126" s="3" t="inlineStr">
        <is>
          <t>Config (CFG)</t>
        </is>
      </c>
      <c r="B126" s="3" t="inlineStr">
        <is>
          <t>CFG-024</t>
        </is>
      </c>
      <c r="C126" s="3" t="inlineStr">
        <is>
          <t>E-signing settings (§2.16): signature types, external signers (email OTP), order, expiry, certificate branding, PAdES sealing, retention class | P1 | L | CFG-020, signatures (14 §3)</t>
        </is>
      </c>
      <c r="D126" s="3" t="inlineStr">
        <is>
          <t>20-WORKSPACE-CONFIGURATION.md</t>
        </is>
      </c>
      <c r="E126" s="3" t="inlineStr">
        <is>
          <t>Not started</t>
        </is>
      </c>
    </row>
    <row r="127">
      <c r="A127" s="3" t="inlineStr">
        <is>
          <t>Config (CFG)</t>
        </is>
      </c>
      <c r="B127" s="3" t="inlineStr">
        <is>
          <t>CFG-025</t>
        </is>
      </c>
      <c r="C127" s="3" t="inlineStr">
        <is>
          <t>Announcements settings (§2.17): posters by role/scope, approval, audience, ack + manager escalation, expiry, comments moderation | P1 | M | CFG-020</t>
        </is>
      </c>
      <c r="D127" s="3" t="inlineStr">
        <is>
          <t>20-WORKSPACE-CONFIGURATION.md</t>
        </is>
      </c>
      <c r="E127" s="3" t="inlineStr">
        <is>
          <t>Not started</t>
        </is>
      </c>
    </row>
    <row r="128">
      <c r="A128" s="3" t="inlineStr">
        <is>
          <t>AI (AI)</t>
        </is>
      </c>
      <c r="B128" s="3" t="inlineStr">
        <is>
          <t>AI-001</t>
        </is>
      </c>
      <c r="C128" s="3" t="inlineStr">
        <is>
          <t>Process drafting** from a description, pasted text or an uploaded SOP/document | P1 | IR v1 draft + forms + rule tables | New *draft* (never published), compiler diagnostics attached</t>
        </is>
      </c>
      <c r="D128" s="3" t="inlineStr">
        <is>
          <t>16-AI-ASSISTANCE.md</t>
        </is>
      </c>
      <c r="E128" s="3" t="inlineStr">
        <is>
          <t>Not started</t>
        </is>
      </c>
    </row>
    <row r="129">
      <c r="A129" s="3" t="inlineStr">
        <is>
          <t>AI (AI)</t>
        </is>
      </c>
      <c r="B129" s="3" t="inlineStr">
        <is>
          <t>AI-002</t>
        </is>
      </c>
      <c r="C129" s="3" t="inlineStr">
        <is>
          <t>SOP drafting** from a process model, or restructuring an existing document into the SOP block model | P1 | SOP blocks | Draft SOP version</t>
        </is>
      </c>
      <c r="D129" s="3" t="inlineStr">
        <is>
          <t>16-AI-ASSISTANCE.md</t>
        </is>
      </c>
      <c r="E129" s="3" t="inlineStr">
        <is>
          <t>Not started</t>
        </is>
      </c>
    </row>
    <row r="130">
      <c r="A130" s="3" t="inlineStr">
        <is>
          <t>AI (AI)</t>
        </is>
      </c>
      <c r="B130" s="3" t="inlineStr">
        <is>
          <t>AI-003</t>
        </is>
      </c>
      <c r="C130" s="3" t="inlineStr">
        <is>
          <t>Form generation** from a description or an example document | P1 | JSON Schema + UI schema | Draft form version</t>
        </is>
      </c>
      <c r="D130" s="3" t="inlineStr">
        <is>
          <t>16-AI-ASSISTANCE.md</t>
        </is>
      </c>
      <c r="E130" s="3" t="inlineStr">
        <is>
          <t>Not started</t>
        </is>
      </c>
    </row>
    <row r="131">
      <c r="A131" s="3" t="inlineStr">
        <is>
          <t>AI (AI)</t>
        </is>
      </c>
      <c r="B131" s="3" t="inlineStr">
        <is>
          <t>AI-004</t>
        </is>
      </c>
      <c r="C131" s="3" t="inlineStr">
        <is>
          <t>Rule table suggestion** from a policy text ("over 50 000 needs finance") | P1 | Rule table | Draft rule version</t>
        </is>
      </c>
      <c r="D131" s="3" t="inlineStr">
        <is>
          <t>16-AI-ASSISTANCE.md</t>
        </is>
      </c>
      <c r="E131" s="3" t="inlineStr">
        <is>
          <t>Not started</t>
        </is>
      </c>
    </row>
    <row r="132">
      <c r="A132" s="3" t="inlineStr">
        <is>
          <t>AI (AI)</t>
        </is>
      </c>
      <c r="B132" s="3" t="inlineStr">
        <is>
          <t>AI-005</t>
        </is>
      </c>
      <c r="C132" s="3" t="inlineStr">
        <is>
          <t>Summarise a request or case** (history, current blocker, next step) | P1 | Text | Ephemeral panel; optional save as comment (attributed)</t>
        </is>
      </c>
      <c r="D132" s="3" t="inlineStr">
        <is>
          <t>16-AI-ASSISTANCE.md</t>
        </is>
      </c>
      <c r="E132" s="3" t="inlineStr">
        <is>
          <t>Not started</t>
        </is>
      </c>
    </row>
    <row r="133">
      <c r="A133" s="3" t="inlineStr">
        <is>
          <t>AI (AI)</t>
        </is>
      </c>
      <c r="B133" s="3" t="inlineStr">
        <is>
          <t>AI-006</t>
        </is>
      </c>
      <c r="C133" s="3" t="inlineStr">
        <is>
          <t>Explain an audit timeline** in plain language for investigators | P1 | Text with event links | Ephemeral; can be pinned to an investigation as a labelled note</t>
        </is>
      </c>
      <c r="D133" s="3" t="inlineStr">
        <is>
          <t>16-AI-ASSISTANCE.md</t>
        </is>
      </c>
      <c r="E133" s="3" t="inlineStr">
        <is>
          <t>Not started</t>
        </is>
      </c>
    </row>
    <row r="134">
      <c r="A134" s="3" t="inlineStr">
        <is>
          <t>AI (AI)</t>
        </is>
      </c>
      <c r="B134" s="3" t="inlineStr">
        <is>
          <t>AI-007</t>
        </is>
      </c>
      <c r="C134" s="3" t="inlineStr">
        <is>
          <t>Translate an SOP / form labels** into another workspace locale | P1 | Locale bundle / translated SOP draft | Draft translation needing reviewer approval</t>
        </is>
      </c>
      <c r="D134" s="3" t="inlineStr">
        <is>
          <t>16-AI-ASSISTANCE.md</t>
        </is>
      </c>
      <c r="E134" s="3" t="inlineStr">
        <is>
          <t>Not started</t>
        </is>
      </c>
    </row>
    <row r="135">
      <c r="A135" s="3" t="inlineStr">
        <is>
          <t>AI (AI)</t>
        </is>
      </c>
      <c r="B135" s="3" t="inlineStr">
        <is>
          <t>AI-008</t>
        </is>
      </c>
      <c r="C135" s="3" t="inlineStr">
        <is>
          <t>Improve suggestions** for a draft (missing rejection paths, unclear steps, SLA gaps) | P1 | Annotated suggestions | Suggestion list on the draft</t>
        </is>
      </c>
      <c r="D135" s="3" t="inlineStr">
        <is>
          <t>16-AI-ASSISTANCE.md</t>
        </is>
      </c>
      <c r="E135" s="3" t="inlineStr">
        <is>
          <t>Not started</t>
        </is>
      </c>
    </row>
    <row r="136">
      <c r="A136" s="3" t="inlineStr">
        <is>
          <t>AI (AI)</t>
        </is>
      </c>
      <c r="B136" s="3" t="inlineStr">
        <is>
          <t>AI-009</t>
        </is>
      </c>
      <c r="C136" s="3" t="inlineStr">
        <is>
          <t>Natural-language search / filters** ("overdue purchase requests in Finance last week") | P1 | Data-grid filter AST | Applied filter shown as chips, editable</t>
        </is>
      </c>
      <c r="D136" s="3" t="inlineStr">
        <is>
          <t>16-AI-ASSISTANCE.md</t>
        </is>
      </c>
      <c r="E136" s="3" t="inlineStr">
        <is>
          <t>Not started</t>
        </is>
      </c>
    </row>
    <row r="137">
      <c r="A137" s="3" t="inlineStr">
        <is>
          <t>AI (AI)</t>
        </is>
      </c>
      <c r="B137" s="3" t="inlineStr">
        <is>
          <t>AI-010</t>
        </is>
      </c>
      <c r="C137" s="3" t="inlineStr">
        <is>
          <t>Governed agent step** (`ai.task` node: classify, extract, draft a reply) inside a process | P2 | Structured output validated against schema | Output goes to a human review step unless the node is explicitly non-decisional</t>
        </is>
      </c>
      <c r="D137" s="3" t="inlineStr">
        <is>
          <t>16-AI-ASSISTANCE.md</t>
        </is>
      </c>
      <c r="E137" s="3" t="inlineStr">
        <is>
          <t>Not started</t>
        </is>
      </c>
    </row>
    <row r="138">
      <c r="A138" s="3" t="inlineStr">
        <is>
          <t>AI (AI)</t>
        </is>
      </c>
      <c r="B138" s="3" t="inlineStr">
        <is>
          <t>AI-011</t>
        </is>
      </c>
      <c r="C138" s="3" t="inlineStr">
        <is>
          <t>Provider abstraction + Anthropic, OpenAI-compatible and Ollama adapters | P1 | M | Secret store, egress proxy</t>
        </is>
      </c>
      <c r="D138" s="3" t="inlineStr">
        <is>
          <t>16-AI-ASSISTANCE.md</t>
        </is>
      </c>
      <c r="E138" s="3" t="inlineStr">
        <is>
          <t>Not started</t>
        </is>
      </c>
    </row>
    <row r="139">
      <c r="A139" s="3" t="inlineStr">
        <is>
          <t>AI (AI)</t>
        </is>
      </c>
      <c r="B139" s="3" t="inlineStr">
        <is>
          <t>AI-012</t>
        </is>
      </c>
      <c r="C139" s="3" t="inlineStr">
        <is>
          <t>System Admin provider config + workspace feature toggles + kill switch | P1 | S | AI-011, settings model</t>
        </is>
      </c>
      <c r="D139" s="3" t="inlineStr">
        <is>
          <t>16-AI-ASSISTANCE.md</t>
        </is>
      </c>
      <c r="E139" s="3" t="inlineStr">
        <is>
          <t>Not started</t>
        </is>
      </c>
    </row>
    <row r="140">
      <c r="A140" s="3" t="inlineStr">
        <is>
          <t>AI (AI)</t>
        </is>
      </c>
      <c r="B140" s="3" t="inlineStr">
        <is>
          <t>AI-013</t>
        </is>
      </c>
      <c r="C140" s="3" t="inlineStr">
        <is>
          <t>Redaction-before-prompt (shared with export redaction path) | P1 | S | Field-level policy</t>
        </is>
      </c>
      <c r="D140" s="3" t="inlineStr">
        <is>
          <t>16-AI-ASSISTANCE.md</t>
        </is>
      </c>
      <c r="E140" s="3" t="inlineStr">
        <is>
          <t>Not started</t>
        </is>
      </c>
    </row>
    <row r="141">
      <c r="A141" s="3" t="inlineStr">
        <is>
          <t>AI (AI)</t>
        </is>
      </c>
      <c r="B141" s="3" t="inlineStr">
        <is>
          <t>AI-014</t>
        </is>
      </c>
      <c r="C141" s="3" t="inlineStr">
        <is>
          <t>Provenance records + audit events + "AI-drafted" badge model | P1 | M | Audit trail</t>
        </is>
      </c>
      <c r="D141" s="3" t="inlineStr">
        <is>
          <t>16-AI-ASSISTANCE.md</t>
        </is>
      </c>
      <c r="E141" s="3" t="inlineStr">
        <is>
          <t>Not started</t>
        </is>
      </c>
    </row>
    <row r="142">
      <c r="A142" s="3" t="inlineStr">
        <is>
          <t>AI (AI)</t>
        </is>
      </c>
      <c r="B142" s="3" t="inlineStr">
        <is>
          <t>AI-015</t>
        </is>
      </c>
      <c r="C142" s="3" t="inlineStr">
        <is>
          <t>Process drafting (AI-001) with compiler loop and suggestion diff UI | P1 | L | IR compiler, designer</t>
        </is>
      </c>
      <c r="D142" s="3" t="inlineStr">
        <is>
          <t>16-AI-ASSISTANCE.md</t>
        </is>
      </c>
      <c r="E142" s="3" t="inlineStr">
        <is>
          <t>Not started</t>
        </is>
      </c>
    </row>
    <row r="143">
      <c r="A143" s="3" t="inlineStr">
        <is>
          <t>AI (AI)</t>
        </is>
      </c>
      <c r="B143" s="3" t="inlineStr">
        <is>
          <t>AI-016</t>
        </is>
      </c>
      <c r="C143" s="3" t="inlineStr">
        <is>
          <t>SOP drafting / restructure (AI-002) | P1 | M | SOP block model</t>
        </is>
      </c>
      <c r="D143" s="3" t="inlineStr">
        <is>
          <t>16-AI-ASSISTANCE.md</t>
        </is>
      </c>
      <c r="E143" s="3" t="inlineStr">
        <is>
          <t>Not started</t>
        </is>
      </c>
    </row>
    <row r="144">
      <c r="A144" s="3" t="inlineStr">
        <is>
          <t>AI (AI)</t>
        </is>
      </c>
      <c r="B144" s="3" t="inlineStr">
        <is>
          <t>AI-017</t>
        </is>
      </c>
      <c r="C144" s="3" t="inlineStr">
        <is>
          <t>Form + rule-table generation (AI-003, AI-004) | P1 | M | Form builder, rule tables</t>
        </is>
      </c>
      <c r="D144" s="3" t="inlineStr">
        <is>
          <t>16-AI-ASSISTANCE.md</t>
        </is>
      </c>
      <c r="E144" s="3" t="inlineStr">
        <is>
          <t>Not started</t>
        </is>
      </c>
    </row>
    <row r="145">
      <c r="A145" s="3" t="inlineStr">
        <is>
          <t>AI (AI)</t>
        </is>
      </c>
      <c r="B145" s="3" t="inlineStr">
        <is>
          <t>AI-018</t>
        </is>
      </c>
      <c r="C145" s="3" t="inlineStr">
        <is>
          <t>Request/case summary + audit explanation with citations (AI-005, AI-006) | P1 | M | Audit explorer</t>
        </is>
      </c>
      <c r="D145" s="3" t="inlineStr">
        <is>
          <t>16-AI-ASSISTANCE.md</t>
        </is>
      </c>
      <c r="E145" s="3" t="inlineStr">
        <is>
          <t>Not started</t>
        </is>
      </c>
    </row>
    <row r="146">
      <c r="A146" s="3" t="inlineStr">
        <is>
          <t>AI (AI)</t>
        </is>
      </c>
      <c r="B146" s="3" t="inlineStr">
        <is>
          <t>AI-019</t>
        </is>
      </c>
      <c r="C146" s="3" t="inlineStr">
        <is>
          <t>SOP/form translation workflow (AI-007) | P1 | M | i18n bundles</t>
        </is>
      </c>
      <c r="D146" s="3" t="inlineStr">
        <is>
          <t>16-AI-ASSISTANCE.md</t>
        </is>
      </c>
      <c r="E146" s="3" t="inlineStr">
        <is>
          <t>Not started</t>
        </is>
      </c>
    </row>
    <row r="147">
      <c r="A147" s="3" t="inlineStr">
        <is>
          <t>AI (AI)</t>
        </is>
      </c>
      <c r="B147" s="3" t="inlineStr">
        <is>
          <t>AI-020</t>
        </is>
      </c>
      <c r="C147" s="3" t="inlineStr">
        <is>
          <t>Draft improvement suggestions (AI-008) | P1 | S | AI-015</t>
        </is>
      </c>
      <c r="D147" s="3" t="inlineStr">
        <is>
          <t>16-AI-ASSISTANCE.md</t>
        </is>
      </c>
      <c r="E147" s="3" t="inlineStr">
        <is>
          <t>Not started</t>
        </is>
      </c>
    </row>
    <row r="148">
      <c r="A148" s="3" t="inlineStr">
        <is>
          <t>AI (AI)</t>
        </is>
      </c>
      <c r="B148" s="3" t="inlineStr">
        <is>
          <t>AI-021</t>
        </is>
      </c>
      <c r="C148" s="3" t="inlineStr">
        <is>
          <t>NL → data-grid filter (AI-009) | P1 | S | Shared data grid filter AST</t>
        </is>
      </c>
      <c r="D148" s="3" t="inlineStr">
        <is>
          <t>16-AI-ASSISTANCE.md</t>
        </is>
      </c>
      <c r="E148" s="3" t="inlineStr">
        <is>
          <t>Not started</t>
        </is>
      </c>
    </row>
    <row r="149">
      <c r="A149" s="3" t="inlineStr">
        <is>
          <t>AI (AI)</t>
        </is>
      </c>
      <c r="B149" s="3" t="inlineStr">
        <is>
          <t>AI-022</t>
        </is>
      </c>
      <c r="C149" s="3" t="inlineStr">
        <is>
          <t>Evaluation harness, golden sets, injection suite, CI integration | P1 | M | AI-011</t>
        </is>
      </c>
      <c r="D149" s="3" t="inlineStr">
        <is>
          <t>16-AI-ASSISTANCE.md</t>
        </is>
      </c>
      <c r="E149" s="3" t="inlineStr">
        <is>
          <t>Not started</t>
        </is>
      </c>
    </row>
    <row r="150">
      <c r="A150" s="3" t="inlineStr">
        <is>
          <t>AI (AI)</t>
        </is>
      </c>
      <c r="B150" s="3" t="inlineStr">
        <is>
          <t>AI-023</t>
        </is>
      </c>
      <c r="C150" s="3" t="inlineStr">
        <is>
          <t>Usage metering, budgets, admin dashboard tiles | P1 | S | AI-011</t>
        </is>
      </c>
      <c r="D150" s="3" t="inlineStr">
        <is>
          <t>16-AI-ASSISTANCE.md</t>
        </is>
      </c>
      <c r="E150" s="3" t="inlineStr">
        <is>
          <t>Not started</t>
        </is>
      </c>
    </row>
    <row r="151">
      <c r="A151" s="3" t="inlineStr">
        <is>
          <t>AI (AI)</t>
        </is>
      </c>
      <c r="B151" s="3" t="inlineStr">
        <is>
          <t>AI-024</t>
        </is>
      </c>
      <c r="C151" s="3" t="inlineStr">
        <is>
          <t>AI DPIA template, Art. 6(3) assessment, subprocessor list entries | P1 | S | —</t>
        </is>
      </c>
      <c r="D151" s="3" t="inlineStr">
        <is>
          <t>16-AI-ASSISTANCE.md</t>
        </is>
      </c>
      <c r="E151" s="3" t="inlineStr">
        <is>
          <t>Not started</t>
        </is>
      </c>
    </row>
    <row r="152">
      <c r="A152" s="3" t="inlineStr">
        <is>
          <t>AI (AI)</t>
        </is>
      </c>
      <c r="B152" s="3" t="inlineStr">
        <is>
          <t>AI-025</t>
        </is>
      </c>
      <c r="C152" s="3" t="inlineStr">
        <is>
          <t>Governed `ai.task` node (AI-010): schema-bound output, mandatory review step, versioned prompts in release bundle | P2 | L | IR v2, AI-022</t>
        </is>
      </c>
      <c r="D152" s="3" t="inlineStr">
        <is>
          <t>16-AI-ASSISTANCE.md</t>
        </is>
      </c>
      <c r="E152" s="3" t="inlineStr">
        <is>
          <t>Not started</t>
        </is>
      </c>
    </row>
    <row r="153">
      <c r="A153" s="3" t="inlineStr">
        <is>
          <t>E2E scenarios (E2E)</t>
        </is>
      </c>
      <c r="B153" s="3" t="inlineStr">
        <is>
          <t>E2E-P0-01</t>
        </is>
      </c>
      <c r="C153" s="3" t="inlineStr">
        <is>
          <t>`/healthz` and `/readyz` return 200 | Harness boots the stack</t>
        </is>
      </c>
      <c r="D153" s="3" t="inlineStr">
        <is>
          <t>23-E2E-TEST-PLAN.md</t>
        </is>
      </c>
      <c r="E153" s="3" t="inlineStr">
        <is>
          <t>Not started</t>
        </is>
      </c>
    </row>
    <row r="154">
      <c r="A154" s="3" t="inlineStr">
        <is>
          <t>E2E scenarios (E2E)</t>
        </is>
      </c>
      <c r="B154" s="3" t="inlineStr">
        <is>
          <t>E2E-P0-02</t>
        </is>
      </c>
      <c r="C154" s="3" t="inlineStr">
        <is>
          <t>`/version` reports name and server time | Clock wiring</t>
        </is>
      </c>
      <c r="D154" s="3" t="inlineStr">
        <is>
          <t>23-E2E-TEST-PLAN.md</t>
        </is>
      </c>
      <c r="E154" s="3" t="inlineStr">
        <is>
          <t>Not started</t>
        </is>
      </c>
    </row>
    <row r="155">
      <c r="A155" s="3" t="inlineStr">
        <is>
          <t>E2E scenarios (E2E)</t>
        </is>
      </c>
      <c r="B155" s="3" t="inlineStr">
        <is>
          <t>E2E-P0-03</t>
        </is>
      </c>
      <c r="C155" s="3" t="inlineStr">
        <is>
          <t>`__test/clock` advances only forward and drives server time; invalid durations get a 422 problem+json | docs/23 §4 controls</t>
        </is>
      </c>
      <c r="D155" s="3" t="inlineStr">
        <is>
          <t>23-E2E-TEST-PLAN.md</t>
        </is>
      </c>
      <c r="E155" s="3" t="inlineStr">
        <is>
          <t>Not started</t>
        </is>
      </c>
    </row>
    <row r="156">
      <c r="A156" s="3" t="inlineStr">
        <is>
          <t>E2E scenarios (E2E)</t>
        </is>
      </c>
      <c r="B156" s="3" t="inlineStr">
        <is>
          <t>E2E-P0-04</t>
        </is>
      </c>
      <c r="C156" s="3" t="inlineStr">
        <is>
          <t>`__test/drain` reports idle; unknown routes return 404 | Drain control; routing baseline</t>
        </is>
      </c>
      <c r="D156" s="3" t="inlineStr">
        <is>
          <t>23-E2E-TEST-PLAN.md</t>
        </is>
      </c>
      <c r="E156" s="3" t="inlineStr">
        <is>
          <t>Not started</t>
        </is>
      </c>
    </row>
    <row r="157">
      <c r="A157" s="3" t="inlineStr">
        <is>
          <t>E2E scenarios (E2E)</t>
        </is>
      </c>
      <c r="B157" s="3" t="inlineStr">
        <is>
          <t>E2E-P0-REL</t>
        </is>
      </c>
      <c r="C157" s="3" t="inlineStr">
        <is>
          <t>The release binary returns 404 for `/__test/clock` (CI step) | docs/24 §5.4</t>
        </is>
      </c>
      <c r="D157" s="3" t="inlineStr">
        <is>
          <t>23-E2E-TEST-PLAN.md</t>
        </is>
      </c>
      <c r="E157" s="3" t="inlineStr">
        <is>
          <t>Not started</t>
        </is>
      </c>
    </row>
    <row r="158">
      <c r="A158" s="3" t="inlineStr">
        <is>
          <t>E2E scenarios (E2E)</t>
        </is>
      </c>
      <c r="B158" s="3" t="inlineStr">
        <is>
          <t>E2E-P0-05</t>
        </is>
      </c>
      <c r="C158" s="3" t="inlineStr">
        <is>
          <t>Design-system gallery: zero axe violations for WCAG 2.0/2.1/2.2 A+AA (light theme) | BPMS-010, A11Y-01</t>
        </is>
      </c>
      <c r="D158" s="3" t="inlineStr">
        <is>
          <t>23-E2E-TEST-PLAN.md</t>
        </is>
      </c>
      <c r="E158" s="3" t="inlineStr">
        <is>
          <t>Not started</t>
        </is>
      </c>
    </row>
    <row r="159">
      <c r="A159" s="3" t="inlineStr">
        <is>
          <t>E2E scenarios (E2E)</t>
        </is>
      </c>
      <c r="B159" s="3" t="inlineStr">
        <is>
          <t>E2E-P0-06</t>
        </is>
      </c>
      <c r="C159" s="3" t="inlineStr">
        <is>
          <t>Same in the dark theme | docs/05 §7.1.1</t>
        </is>
      </c>
      <c r="D159" s="3" t="inlineStr">
        <is>
          <t>23-E2E-TEST-PLAN.md</t>
        </is>
      </c>
      <c r="E159" s="3" t="inlineStr">
        <is>
          <t>Not started</t>
        </is>
      </c>
    </row>
    <row r="160">
      <c r="A160" s="3" t="inlineStr">
        <is>
          <t>E2E scenarios (E2E)</t>
        </is>
      </c>
      <c r="B160" s="3" t="inlineStr">
        <is>
          <t>E2E-P0-07</t>
        </is>
      </c>
      <c r="C160" s="3" t="inlineStr">
        <is>
          <t>Keyboard: skip link is the first tab stop and moves focus to main; every following tab stop shows a visible focus outline | WCAG 2.4.1, 2.4.7, 2.4.11</t>
        </is>
      </c>
      <c r="D160" s="3" t="inlineStr">
        <is>
          <t>23-E2E-TEST-PLAN.md</t>
        </is>
      </c>
      <c r="E160" s="3" t="inlineStr">
        <is>
          <t>Not started</t>
        </is>
      </c>
    </row>
    <row r="161">
      <c r="A161" s="3" t="inlineStr">
        <is>
          <t>E2E scenarios (E2E)</t>
        </is>
      </c>
      <c r="B161" s="3" t="inlineStr">
        <is>
          <t>E2E-P0-08</t>
        </is>
      </c>
      <c r="C161" s="3" t="inlineStr">
        <is>
          <t>Reflows at 320 px with no horizontal scrolling | WCAG 1.4.10</t>
        </is>
      </c>
      <c r="D161" s="3" t="inlineStr">
        <is>
          <t>23-E2E-TEST-PLAN.md</t>
        </is>
      </c>
      <c r="E161" s="3" t="inlineStr">
        <is>
          <t>Not started</t>
        </is>
      </c>
    </row>
    <row r="162">
      <c r="A162" s="3" t="inlineStr">
        <is>
          <t>E2E scenarios (E2E)</t>
        </is>
      </c>
      <c r="B162" s="3" t="inlineStr">
        <is>
          <t>E2E-P0-09</t>
        </is>
      </c>
      <c r="C162" s="3" t="inlineStr">
        <is>
          <t>Every visible interactive target is ≥ 24×24 px (visually hidden native inputs are measured through their label) | WCAG 2.5.8</t>
        </is>
      </c>
      <c r="D162" s="3" t="inlineStr">
        <is>
          <t>23-E2E-TEST-PLAN.md</t>
        </is>
      </c>
      <c r="E162" s="3" t="inlineStr">
        <is>
          <t>Not started</t>
        </is>
      </c>
    </row>
    <row r="163">
      <c r="A163" s="3" t="inlineStr">
        <is>
          <t>E2E scenarios (E2E)</t>
        </is>
      </c>
      <c r="B163" s="3" t="inlineStr">
        <is>
          <t>E2E-P0-10</t>
        </is>
      </c>
      <c r="C163" s="3" t="inlineStr">
        <is>
          <t>Confirm dialog: Cancel focused first, focus trapped, axe-clean, Esc closes and restores focus to the trigger; confirm performs the action | WCAG 2.4.3, 2.1.2; docs/05 §7.1.1</t>
        </is>
      </c>
      <c r="D163" s="3" t="inlineStr">
        <is>
          <t>23-E2E-TEST-PLAN.md</t>
        </is>
      </c>
      <c r="E163" s="3" t="inlineStr">
        <is>
          <t>Not started</t>
        </is>
      </c>
    </row>
    <row r="164">
      <c r="A164" s="3" t="inlineStr">
        <is>
          <t>E2E scenarios (E2E)</t>
        </is>
      </c>
      <c r="B164" s="3" t="inlineStr">
        <is>
          <t>E2E-P0-11</t>
        </is>
      </c>
      <c r="C164" s="3" t="inlineStr">
        <is>
          <t>Data grid: `aria-sort` none→ascending→descending, filter result count announced in a live region, select-all count | FR-V01/V02/V06/V08</t>
        </is>
      </c>
      <c r="D164" s="3" t="inlineStr">
        <is>
          <t>23-E2E-TEST-PLAN.md</t>
        </is>
      </c>
      <c r="E164" s="3" t="inlineStr">
        <is>
          <t>Not started</t>
        </is>
      </c>
    </row>
    <row r="165">
      <c r="A165" s="3" t="inlineStr">
        <is>
          <t>E2E scenarios (E2E)</t>
        </is>
      </c>
      <c r="B165" s="3" t="inlineStr">
        <is>
          <t>E2E-P0-12</t>
        </is>
      </c>
      <c r="C165" s="3" t="inlineStr">
        <is>
          <t>Select operable by keyboard only (open, move, choose) | WCAG 2.1.1</t>
        </is>
      </c>
      <c r="D165" s="3" t="inlineStr">
        <is>
          <t>23-E2E-TEST-PLAN.md</t>
        </is>
      </c>
      <c r="E165" s="3" t="inlineStr">
        <is>
          <t>Not started</t>
        </is>
      </c>
    </row>
    <row r="166">
      <c r="A166" s="3" t="inlineStr">
        <is>
          <t>E2E scenarios (E2E)</t>
        </is>
      </c>
      <c r="B166" s="3" t="inlineStr">
        <is>
          <t>E2E-P0-13</t>
        </is>
      </c>
      <c r="C166" s="3" t="inlineStr">
        <is>
          <t>Tabs: arrow keys move focus and selection; the panel follows | WAI-ARIA tabs pattern</t>
        </is>
      </c>
      <c r="D166" s="3" t="inlineStr">
        <is>
          <t>23-E2E-TEST-PLAN.md</t>
        </is>
      </c>
      <c r="E166" s="3" t="inlineStr">
        <is>
          <t>Not started</t>
        </is>
      </c>
    </row>
    <row r="167">
      <c r="A167" s="3" t="inlineStr">
        <is>
          <t>E2E scenarios (E2E)</t>
        </is>
      </c>
      <c r="B167" s="3" t="inlineStr">
        <is>
          <t>E2E-R1-AUTH-01</t>
        </is>
      </c>
      <c r="C167" s="3" t="inlineStr">
        <is>
          <t>Login returns a ≤ 15 min Bearer JWT + HttpOnly/SameSite=Strict refresh cookie, `Cache-Control: no-store`; `/me` works only with a valid token; forged token → 401 problem+json | §3.2</t>
        </is>
      </c>
      <c r="D167" s="3" t="inlineStr">
        <is>
          <t>23-E2E-TEST-PLAN.md</t>
        </is>
      </c>
      <c r="E167" s="3" t="inlineStr">
        <is>
          <t>Not started</t>
        </is>
      </c>
    </row>
    <row r="168">
      <c r="A168" s="3" t="inlineStr">
        <is>
          <t>E2E scenarios (E2E)</t>
        </is>
      </c>
      <c r="B168" s="3" t="inlineStr">
        <is>
          <t>E2E-R1-AUTH-02</t>
        </is>
      </c>
      <c r="C168" s="3" t="inlineStr">
        <is>
          <t>Wrong password and unknown account return the same error code | enumeration resistance</t>
        </is>
      </c>
      <c r="D168" s="3" t="inlineStr">
        <is>
          <t>23-E2E-TEST-PLAN.md</t>
        </is>
      </c>
      <c r="E168" s="3" t="inlineStr">
        <is>
          <t>Not started</t>
        </is>
      </c>
    </row>
    <row r="169">
      <c r="A169" s="3" t="inlineStr">
        <is>
          <t>E2E scenarios (E2E)</t>
        </is>
      </c>
      <c r="B169" s="3" t="inlineStr">
        <is>
          <t>E2E-R1-AUTH-03</t>
        </is>
      </c>
      <c r="C169" s="3" t="inlineStr">
        <is>
          <t>Refresh rotates the cookie; replaying the old refresh token → `token_reused` and the legitimate session is revoked too | SEC-14</t>
        </is>
      </c>
      <c r="D169" s="3" t="inlineStr">
        <is>
          <t>23-E2E-TEST-PLAN.md</t>
        </is>
      </c>
      <c r="E169" s="3" t="inlineStr">
        <is>
          <t>Not started</t>
        </is>
      </c>
    </row>
    <row r="170">
      <c r="A170" s="3" t="inlineStr">
        <is>
          <t>E2E scenarios (E2E)</t>
        </is>
      </c>
      <c r="B170" s="3" t="inlineStr">
        <is>
          <t>E2E-R1-AUTH-04</t>
        </is>
      </c>
      <c r="C170" s="3" t="inlineStr">
        <is>
          <t>Cookie endpoints without `X-Requested-With: procera` → 403 `csrf` | CSRF</t>
        </is>
      </c>
      <c r="D170" s="3" t="inlineStr">
        <is>
          <t>23-E2E-TEST-PLAN.md</t>
        </is>
      </c>
      <c r="E170" s="3" t="inlineStr">
        <is>
          <t>Not started</t>
        </is>
      </c>
    </row>
    <row r="171">
      <c r="A171" s="3" t="inlineStr">
        <is>
          <t>E2E scenarios (E2E)</t>
        </is>
      </c>
      <c r="B171" s="3" t="inlineStr">
        <is>
          <t>E2E-R1-AUTH-05</t>
        </is>
      </c>
      <c r="C171" s="3" t="inlineStr">
        <is>
          <t>Logout revokes the family and clears the cookie | §3.2</t>
        </is>
      </c>
      <c r="D171" s="3" t="inlineStr">
        <is>
          <t>23-E2E-TEST-PLAN.md</t>
        </is>
      </c>
      <c r="E171" s="3" t="inlineStr">
        <is>
          <t>Not started</t>
        </is>
      </c>
    </row>
    <row r="172">
      <c r="A172" s="3" t="inlineStr">
        <is>
          <t>E2E scenarios (E2E)</t>
        </is>
      </c>
      <c r="B172" s="3" t="inlineStr">
        <is>
          <t>E2E-R1-AUTH-06</t>
        </is>
      </c>
      <c r="C172" s="3" t="inlineStr">
        <is>
          <t>TOTP enrolment (otpauth URI), MFA login (`amr=[pwd,otp]`), MFA token rejected as access token, TOTP replay rejected, recovery code single-use | §3.6</t>
        </is>
      </c>
      <c r="D172" s="3" t="inlineStr">
        <is>
          <t>23-E2E-TEST-PLAN.md</t>
        </is>
      </c>
      <c r="E172" s="3" t="inlineStr">
        <is>
          <t>Not started</t>
        </is>
      </c>
    </row>
    <row r="173">
      <c r="A173" s="3" t="inlineStr">
        <is>
          <t>E2E scenarios (E2E)</t>
        </is>
      </c>
      <c r="B173" s="3" t="inlineStr">
        <is>
          <t>E2E-R1-AUTH-07</t>
        </is>
      </c>
      <c r="C173" s="3" t="inlineStr">
        <is>
          <t>Sign-out-everywhere rejects another device's unexpired JWT and refresh; system audit chain verifies | SEC-04, AUD-01</t>
        </is>
      </c>
      <c r="D173" s="3" t="inlineStr">
        <is>
          <t>23-E2E-TEST-PLAN.md</t>
        </is>
      </c>
      <c r="E173" s="3" t="inlineStr">
        <is>
          <t>Not started</t>
        </is>
      </c>
    </row>
    <row r="174">
      <c r="A174" s="3" t="inlineStr">
        <is>
          <t>E2E scenarios (E2E)</t>
        </is>
      </c>
      <c r="B174" s="3" t="inlineStr">
        <is>
          <t>E2E-R1-SYS-01</t>
        </is>
      </c>
      <c r="C174" s="3" t="inlineStr">
        <is>
          <t>Bootstrap: wrong token 401; one-time token creates `system.owner`; reuse 409; no further tokens | FR-S01 (= E2E-R1-01)</t>
        </is>
      </c>
      <c r="D174" s="3" t="inlineStr">
        <is>
          <t>23-E2E-TEST-PLAN.md</t>
        </is>
      </c>
      <c r="E174" s="3" t="inlineStr">
        <is>
          <t>Not started</t>
        </is>
      </c>
    </row>
    <row r="175">
      <c r="A175" s="3" t="inlineStr">
        <is>
          <t>E2E scenarios (E2E)</t>
        </is>
      </c>
      <c r="B175" s="3" t="inlineStr">
        <is>
          <t>E2E-R1-SYS-02</t>
        </is>
      </c>
      <c r="C175" s="3" t="inlineStr">
        <is>
          <t>System API returns 404 to non-system users and 403 `mfa_required` to system users without MFA | docs/12 §1, docs/06 §3.6</t>
        </is>
      </c>
      <c r="D175" s="3" t="inlineStr">
        <is>
          <t>23-E2E-TEST-PLAN.md</t>
        </is>
      </c>
      <c r="E175" s="3" t="inlineStr">
        <is>
          <t>Not started</t>
        </is>
      </c>
    </row>
    <row r="176">
      <c r="A176" s="3" t="inlineStr">
        <is>
          <t>E2E scenarios (E2E)</t>
        </is>
      </c>
      <c r="B176" s="3" t="inlineStr">
        <is>
          <t>E2E-R1-SYS-03</t>
        </is>
      </c>
      <c r="C176" s="3" t="inlineStr">
        <is>
          <t>Create workspaces A (starter) and B (enterprise): 201 + Location + ETag, profile quotas, duplicate slug 409, invalid slug 422, listing | FR-S02/S04 (= E2E-R1-02)</t>
        </is>
      </c>
      <c r="D176" s="3" t="inlineStr">
        <is>
          <t>23-E2E-TEST-PLAN.md</t>
        </is>
      </c>
      <c r="E176" s="3" t="inlineStr">
        <is>
          <t>Not started</t>
        </is>
      </c>
    </row>
    <row r="177">
      <c r="A177" s="3" t="inlineStr">
        <is>
          <t>E2E scenarios (E2E)</t>
        </is>
      </c>
      <c r="B177" s="3" t="inlineStr">
        <is>
          <t>E2E-R1-SYS-04</t>
        </is>
      </c>
      <c r="C177" s="3" t="inlineStr">
        <is>
          <t>Suspend read-only with reason; stale `If-Match` → 412; restore with current ETag; invalid transition 409; schedule deletion (grace validated) | FR-S02 (= E2E-R1-17)</t>
        </is>
      </c>
      <c r="D177" s="3" t="inlineStr">
        <is>
          <t>23-E2E-TEST-PLAN.md</t>
        </is>
      </c>
      <c r="E177" s="3" t="inlineStr">
        <is>
          <t>Not started</t>
        </is>
      </c>
    </row>
    <row r="178">
      <c r="A178" s="3" t="inlineStr">
        <is>
          <t>E2E scenarios (E2E)</t>
        </is>
      </c>
      <c r="B178" s="3" t="inlineStr">
        <is>
          <t>E2E-R1-SYS-05</t>
        </is>
      </c>
      <c r="C178" s="3" t="inlineStr">
        <is>
          <t>`system.operator` can read but not write; system audit chain verifies | docs/12 §4.1, FR-S09</t>
        </is>
      </c>
      <c r="D178" s="3" t="inlineStr">
        <is>
          <t>23-E2E-TEST-PLAN.md</t>
        </is>
      </c>
      <c r="E178" s="3" t="inlineStr">
        <is>
          <t>Not started</t>
        </is>
      </c>
    </row>
    <row r="179">
      <c r="A179" s="3" t="inlineStr">
        <is>
          <t>E2E scenarios (E2E)</t>
        </is>
      </c>
      <c r="B179" s="3" t="inlineStr">
        <is>
          <t>E2E-R1-MEM-01</t>
        </is>
      </c>
      <c r="C179" s="3" t="inlineStr">
        <is>
          <t>Owner registers through the system-created invitation; workspace becomes `active`; owner holds owner permissions; invitation is single-use | FR-S01, FR-W01</t>
        </is>
      </c>
      <c r="D179" s="3" t="inlineStr">
        <is>
          <t>23-E2E-TEST-PLAN.md</t>
        </is>
      </c>
      <c r="E179" s="3" t="inlineStr">
        <is>
          <t>Not started</t>
        </is>
      </c>
    </row>
    <row r="180">
      <c r="A180" s="3" t="inlineStr">
        <is>
          <t>E2E scenarios (E2E)</t>
        </is>
      </c>
      <c r="B180" s="3" t="inlineStr">
        <is>
          <t>E2E-R1-MEM-02</t>
        </is>
      </c>
      <c r="C180" s="3" t="inlineStr">
        <is>
          <t>Invite → accept only by the invited email; the token is never returned to the inviter; member appears in the list | FR-W01, docs/06 §3</t>
        </is>
      </c>
      <c r="D180" s="3" t="inlineStr">
        <is>
          <t>23-E2E-TEST-PLAN.md</t>
        </is>
      </c>
      <c r="E180" s="3" t="inlineStr">
        <is>
          <t>Not started</t>
        </is>
      </c>
    </row>
    <row r="181">
      <c r="A181" s="3" t="inlineStr">
        <is>
          <t>E2E scenarios (E2E)</t>
        </is>
      </c>
      <c r="B181" s="3" t="inlineStr">
        <is>
          <t>E2E-R1-MEM-03</t>
        </is>
      </c>
      <c r="C181" s="3" t="inlineStr">
        <is>
          <t>A non-member cannot switch into another workspace (404); workspace APIs need a selected workspace | docs/12 §1, SEC-01</t>
        </is>
      </c>
      <c r="D181" s="3" t="inlineStr">
        <is>
          <t>23-E2E-TEST-PLAN.md</t>
        </is>
      </c>
      <c r="E181" s="3" t="inlineStr">
        <is>
          <t>Not started</t>
        </is>
      </c>
    </row>
    <row r="182">
      <c r="A182" s="3" t="inlineStr">
        <is>
          <t>E2E scenarios (E2E)</t>
        </is>
      </c>
      <c r="B182" s="3" t="inlineStr">
        <is>
          <t>E2E-R1-MEM-04</t>
        </is>
      </c>
      <c r="C182" s="3" t="inlineStr">
        <is>
          <t>Custom role: no escalation, built-ins immutable, grant/revoke takes effect on the next request | FR-W03, ADR-0011</t>
        </is>
      </c>
      <c r="D182" s="3" t="inlineStr">
        <is>
          <t>23-E2E-TEST-PLAN.md</t>
        </is>
      </c>
      <c r="E182" s="3" t="inlineStr">
        <is>
          <t>Not started</t>
        </is>
      </c>
    </row>
    <row r="183">
      <c r="A183" s="3" t="inlineStr">
        <is>
          <t>E2E scenarios (E2E)</t>
        </is>
      </c>
      <c r="B183" s="3" t="inlineStr">
        <is>
          <t>E2E-R1-MEM-05</t>
        </is>
      </c>
      <c r="C183" s="3" t="inlineStr">
        <is>
          <t>Admin cannot invite an owner, cannot remove the last owner or themselves; a deactivated member loses access at once | FR-W01, docs/12 §6</t>
        </is>
      </c>
      <c r="D183" s="3" t="inlineStr">
        <is>
          <t>23-E2E-TEST-PLAN.md</t>
        </is>
      </c>
      <c r="E183" s="3" t="inlineStr">
        <is>
          <t>Not started</t>
        </is>
      </c>
    </row>
    <row r="184">
      <c r="A184" s="3" t="inlineStr">
        <is>
          <t>E2E scenarios (E2E)</t>
        </is>
      </c>
      <c r="B184" s="3" t="inlineStr">
        <is>
          <t>E2E-R1-MEM-06</t>
        </is>
      </c>
      <c r="C184" s="3" t="inlineStr">
        <is>
          <t>Read-only suspension blocks workspace writes with 423, reads still work; restore re-enables writes | FR-S02</t>
        </is>
      </c>
      <c r="D184" s="3" t="inlineStr">
        <is>
          <t>23-E2E-TEST-PLAN.md</t>
        </is>
      </c>
      <c r="E184" s="3" t="inlineStr">
        <is>
          <t>Not started</t>
        </is>
      </c>
    </row>
    <row r="185">
      <c r="A185" s="3" t="inlineStr">
        <is>
          <t>E2E scenarios (E2E)</t>
        </is>
      </c>
      <c r="B185" s="3" t="inlineStr">
        <is>
          <t>E2E-R1-MEM-07</t>
        </is>
      </c>
      <c r="C185" s="3" t="inlineStr">
        <is>
          <t>Pending invitations listed; revoking kills the token (404); resend issues a new working token; `/__test/drain` dispatches the outbox to idle | FR-W01, docs/04 §2.11</t>
        </is>
      </c>
      <c r="D185" s="3" t="inlineStr">
        <is>
          <t>23-E2E-TEST-PLAN.md</t>
        </is>
      </c>
      <c r="E185" s="3" t="inlineStr">
        <is>
          <t>Not started</t>
        </is>
      </c>
    </row>
    <row r="186">
      <c r="A186" s="3" t="inlineStr">
        <is>
          <t>E2E scenarios (E2E)</t>
        </is>
      </c>
      <c r="B186" s="3" t="inlineStr">
        <is>
          <t>E2E-R1-MEM-08</t>
        </is>
      </c>
      <c r="C186" s="3" t="inlineStr">
        <is>
          <t>An admin cannot revoke the owner's grant (escalation); the last owner keeps the role; role preview shows added/removed/affected members; role and grant changes are on the verified audit chain | FR-W03, docs/12 §5, FR-T01</t>
        </is>
      </c>
      <c r="D186" s="3" t="inlineStr">
        <is>
          <t>23-E2E-TEST-PLAN.md</t>
        </is>
      </c>
      <c r="E186" s="3" t="inlineStr">
        <is>
          <t>Not started</t>
        </is>
      </c>
    </row>
    <row r="187">
      <c r="A187" s="3" t="inlineStr">
        <is>
          <t>E2E scenarios (E2E)</t>
        </is>
      </c>
      <c r="B187" s="3" t="inlineStr">
        <is>
          <t>E2E-R1-MEM-09</t>
        </is>
      </c>
      <c r="C187" s="3" t="inlineStr">
        <is>
          <t>A role granted to a group applies while the member is in it and stops when removed; owner role cannot go to groups; a department-scoped admin reaches members in the subtree only | docs/12 §5, FR-W03</t>
        </is>
      </c>
      <c r="D187" s="3" t="inlineStr">
        <is>
          <t>23-E2E-TEST-PLAN.md</t>
        </is>
      </c>
      <c r="E187" s="3" t="inlineStr">
        <is>
          <t>Not started</t>
        </is>
      </c>
    </row>
    <row r="188">
      <c r="A188" s="3" t="inlineStr">
        <is>
          <t>E2E scenarios (E2E)</t>
        </is>
      </c>
      <c r="B188" s="3" t="inlineStr">
        <is>
          <t>E2E-R1-MEM-10</t>
        </is>
      </c>
      <c r="C188" s="3" t="inlineStr">
        <is>
          <t>MFA by role: in a Standard workspace an admin signed in without MFA is refused at workspace entry (403 `mfa_required`); a plain member is not | docs/20 §2.3 `auth.mfa.required_roles`, FR-W06</t>
        </is>
      </c>
      <c r="D188" s="3" t="inlineStr">
        <is>
          <t>23-E2E-TEST-PLAN.md</t>
        </is>
      </c>
      <c r="E188" s="3" t="inlineStr">
        <is>
          <t>Not started</t>
        </is>
      </c>
    </row>
    <row r="189">
      <c r="A189" s="3" t="inlineStr">
        <is>
          <t>E2E scenarios (E2E)</t>
        </is>
      </c>
      <c r="B189" s="3" t="inlineStr">
        <is>
          <t>E2E-R1-AUD-01</t>
        </is>
      </c>
      <c r="C189" s="3" t="inlineStr">
        <is>
          <t>Every mutating route is called once and appends exactly the audit actions in its route contract (`/__test/audit/contract`); exempt routes append nothing; no route goes unexercised (bootstrap is one-shot and checked by the platform integration test) | FR-T01, docs/24 §3.5</t>
        </is>
      </c>
      <c r="D189" s="3" t="inlineStr">
        <is>
          <t>23-E2E-TEST-PLAN.md</t>
        </is>
      </c>
      <c r="E189" s="3" t="inlineStr">
        <is>
          <t>Not started</t>
        </is>
      </c>
    </row>
    <row r="190">
      <c r="A190" s="3" t="inlineStr">
        <is>
          <t>E2E scenarios (E2E)</t>
        </is>
      </c>
      <c r="B190" s="3" t="inlineStr">
        <is>
          <t>E2E-R1-CFG-01</t>
        </is>
      </c>
      <c r="C190" s="3" t="inlineStr">
        <is>
          <t>The creation profile seeds values (Starter: 8 h idle); the explainer lists default → platform floor → profile; unknown keys 404 | FR-W04, docs/20 §0-1</t>
        </is>
      </c>
      <c r="D190" s="3" t="inlineStr">
        <is>
          <t>23-E2E-TEST-PLAN.md</t>
        </is>
      </c>
      <c r="E190" s="3" t="inlineStr">
        <is>
          <t>Not started</t>
        </is>
      </c>
    </row>
    <row r="191">
      <c r="A191" s="3" t="inlineStr">
        <is>
          <t>E2E scenarios (E2E)</t>
        </is>
      </c>
      <c r="B191" s="3" t="inlineStr">
        <is>
          <t>E2E-R1-CFG-02</t>
        </is>
      </c>
      <c r="C191" s="3" t="inlineStr">
        <is>
          <t>Looser than a floor → 422 `setting_below_floor`; ⚡ keys need a reason; stricter value saved with `ETag`/`If-Match` (stale → 412); floor-locked key 403; invalid value 422; history records the change | FR-S05, FR-W06</t>
        </is>
      </c>
      <c r="D191" s="3" t="inlineStr">
        <is>
          <t>23-E2E-TEST-PLAN.md</t>
        </is>
      </c>
      <c r="E191" s="3" t="inlineStr">
        <is>
          <t>Not started</t>
        </is>
      </c>
    </row>
    <row r="192">
      <c r="A192" s="3" t="inlineStr">
        <is>
          <t>E2E scenarios (E2E)</t>
        </is>
      </c>
      <c r="B192" s="3" t="inlineStr">
        <is>
          <t>E2E-R1-CFG-03</t>
        </is>
      </c>
      <c r="C192" s="3" t="inlineStr">
        <is>
          <t>Step-up keys need a recent authentication: a 10-minute-old sign-in gets 401 `step_up_required`; a wrong code fails; `POST /session/step-up` with a current TOTP code issues a fresh token that succeeds | docs/12 §11, SEC-17</t>
        </is>
      </c>
      <c r="D192" s="3" t="inlineStr">
        <is>
          <t>23-E2E-TEST-PLAN.md</t>
        </is>
      </c>
      <c r="E192" s="3" t="inlineStr">
        <is>
          <t>Not started</t>
        </is>
      </c>
    </row>
    <row r="193">
      <c r="A193" s="3" t="inlineStr">
        <is>
          <t>E2E scenarios (E2E)</t>
        </is>
      </c>
      <c r="B193" s="3" t="inlineStr">
        <is>
          <t>E2E-R1-CFG-04</t>
        </is>
      </c>
      <c r="C193" s="3" t="inlineStr">
        <is>
          <t>A member without settings permissions can neither view nor change settings | docs/12 §5</t>
        </is>
      </c>
      <c r="D193" s="3" t="inlineStr">
        <is>
          <t>23-E2E-TEST-PLAN.md</t>
        </is>
      </c>
      <c r="E193" s="3" t="inlineStr">
        <is>
          <t>Not started</t>
        </is>
      </c>
    </row>
    <row r="194">
      <c r="A194" s="3" t="inlineStr">
        <is>
          <t>E2E scenarios (E2E)</t>
        </is>
      </c>
      <c r="B194" s="3" t="inlineStr">
        <is>
          <t>E2E-R1-CFG-05</t>
        </is>
      </c>
      <c r="C194" s="3" t="inlineStr">
        <is>
          <t>Raising a platform floor clamps a looser workspace value at resolution (stored value kept, `clamped: true`); floors need a reason; keys without floors are rejected | docs/20 §1 rules 4-5</t>
        </is>
      </c>
      <c r="D194" s="3" t="inlineStr">
        <is>
          <t>23-E2E-TEST-PLAN.md</t>
        </is>
      </c>
      <c r="E194" s="3" t="inlineStr">
        <is>
          <t>Not started</t>
        </is>
      </c>
    </row>
    <row r="195">
      <c r="A195" s="3" t="inlineStr">
        <is>
          <t>E2E scenarios (E2E)</t>
        </is>
      </c>
      <c r="B195" s="3" t="inlineStr">
        <is>
          <t>E2E-R1-DIR-01</t>
        </is>
      </c>
      <c r="C195" s="3" t="inlineStr">
        <is>
          <t>Department tree: sibling names unique (409), moving under a descendant rejected (422 `cycle`), deleting a non-empty department refused | FR-W02</t>
        </is>
      </c>
      <c r="D195" s="3" t="inlineStr">
        <is>
          <t>23-E2E-TEST-PLAN.md</t>
        </is>
      </c>
      <c r="E195" s="3" t="inlineStr">
        <is>
          <t>Not started</t>
        </is>
      </c>
    </row>
    <row r="196">
      <c r="A196" s="3" t="inlineStr">
        <is>
          <t>E2E scenarios (E2E)</t>
        </is>
      </c>
      <c r="B196" s="3" t="inlineStr">
        <is>
          <t>E2E-R1-DIR-02</t>
        </is>
      </c>
      <c r="C196" s="3" t="inlineStr">
        <is>
          <t>Manager cycles rejected; resolution is the explicit manager, else the nearest department head that is not the member; field sources recorded | FR-W02 (deterministic resolution)</t>
        </is>
      </c>
      <c r="D196" s="3" t="inlineStr">
        <is>
          <t>23-E2E-TEST-PLAN.md</t>
        </is>
      </c>
      <c r="E196" s="3" t="inlineStr">
        <is>
          <t>Not started</t>
        </is>
      </c>
    </row>
    <row r="197">
      <c r="A197" s="3" t="inlineStr">
        <is>
          <t>E2E scenarios (E2E)</t>
        </is>
      </c>
      <c r="B197" s="3" t="inlineStr">
        <is>
          <t>E2E-R1-DIR-03</t>
        </is>
      </c>
      <c r="C197" s="3" t="inlineStr">
        <is>
          <t>Static groups (duplicate member 409); positions blocked until `directory.positions.enabled`; members read the directory but cannot change it | FR-W02, docs/20 §2.5</t>
        </is>
      </c>
      <c r="D197" s="3" t="inlineStr">
        <is>
          <t>23-E2E-TEST-PLAN.md</t>
        </is>
      </c>
      <c r="E197" s="3" t="inlineStr">
        <is>
          <t>Not started</t>
        </is>
      </c>
    </row>
    <row r="198">
      <c r="A198" s="3" t="inlineStr">
        <is>
          <t>E2E scenarios (E2E)</t>
        </is>
      </c>
      <c r="B198" s="3" t="inlineStr">
        <is>
          <t>E2E-R1-DIR-04</t>
        </is>
      </c>
      <c r="C198" s="3" t="inlineStr">
        <is>
          <t>CSV import: `mode=plan` changes nothing; `mode=apply` creates departments by path and links managers listed later in the file; unknown members reported per row; unknown columns 422 | FR-W02</t>
        </is>
      </c>
      <c r="D198" s="3" t="inlineStr">
        <is>
          <t>23-E2E-TEST-PLAN.md</t>
        </is>
      </c>
      <c r="E198" s="3" t="inlineStr">
        <is>
          <t>Not started</t>
        </is>
      </c>
    </row>
    <row r="199">
      <c r="A199" s="3" t="inlineStr">
        <is>
          <t>E2E scenarios (E2E)</t>
        </is>
      </c>
      <c r="B199" s="3" t="inlineStr">
        <is>
          <t>E2E-R1-01</t>
        </is>
      </c>
      <c r="C199" s="3" t="inlineStr">
        <is>
          <t>Bootstrap: one-time token → system owner enrols MFA → no default credentials work | FR-S01</t>
        </is>
      </c>
      <c r="D199" s="3" t="inlineStr">
        <is>
          <t>23-E2E-TEST-PLAN.md</t>
        </is>
      </c>
      <c r="E199" s="3" t="inlineStr">
        <is>
          <t>Not started</t>
        </is>
      </c>
    </row>
    <row r="200">
      <c r="A200" s="3" t="inlineStr">
        <is>
          <t>E2E scenarios (E2E)</t>
        </is>
      </c>
      <c r="B200" s="3" t="inlineStr">
        <is>
          <t>E2E-R1-02</t>
        </is>
      </c>
      <c r="C200" s="3" t="inlineStr">
        <is>
          <t>System admin creates workspace A (Starter) and B (Enterprise), invites owners; owners accept via Mailpit link and enrol MFA | FR-S02/S03, FR-W01</t>
        </is>
      </c>
      <c r="D200" s="3" t="inlineStr">
        <is>
          <t>23-E2E-TEST-PLAN.md</t>
        </is>
      </c>
      <c r="E200" s="3" t="inlineStr">
        <is>
          <t>Not started</t>
        </is>
      </c>
    </row>
    <row r="201">
      <c r="A201" s="3" t="inlineStr">
        <is>
          <t>E2E scenarios (E2E)</t>
        </is>
      </c>
      <c r="B201" s="3" t="inlineStr">
        <is>
          <t>E2E-R1-03</t>
        </is>
      </c>
      <c r="C201" s="3" t="inlineStr">
        <is>
          <t>Workspace owner sets branding; a low-contrast accent is auto-adjusted or rejected; terminology override ("Request" → "Ticket") shows in UI and email | FR-W04, 05 §7</t>
        </is>
      </c>
      <c r="D201" s="3" t="inlineStr">
        <is>
          <t>23-E2E-TEST-PLAN.md</t>
        </is>
      </c>
      <c r="E201" s="3" t="inlineStr">
        <is>
          <t>Not started</t>
        </is>
      </c>
    </row>
    <row r="202">
      <c r="A202" s="3" t="inlineStr">
        <is>
          <t>E2E scenarios (E2E)</t>
        </is>
      </c>
      <c r="B202" s="3" t="inlineStr">
        <is>
          <t>E2E-R1-04</t>
        </is>
      </c>
      <c r="C202" s="3" t="inlineStr">
        <is>
          <t>Directory CSV import (departments, managers); a manager cycle is rejected with a clear error | FR-W02</t>
        </is>
      </c>
      <c r="D202" s="3" t="inlineStr">
        <is>
          <t>23-E2E-TEST-PLAN.md</t>
        </is>
      </c>
      <c r="E202" s="3" t="inlineStr">
        <is>
          <t>Not started</t>
        </is>
      </c>
    </row>
    <row r="203">
      <c r="A203" s="3" t="inlineStr">
        <is>
          <t>E2E scenarios (E2E)</t>
        </is>
      </c>
      <c r="B203" s="3" t="inlineStr">
        <is>
          <t>E2E-R1-05</t>
        </is>
      </c>
      <c r="C203" s="3" t="inlineStr">
        <is>
          <t>Clone "Process Designer" → "HR Designer" scoped to the HR collection; preview count is correct; the scope is enforced on UI and API; adding a permission the editor lacks is refused | FR-W03, J6</t>
        </is>
      </c>
      <c r="D203" s="3" t="inlineStr">
        <is>
          <t>23-E2E-TEST-PLAN.md</t>
        </is>
      </c>
      <c r="E203" s="3" t="inlineStr">
        <is>
          <t>Not started</t>
        </is>
      </c>
    </row>
    <row r="204">
      <c r="A204" s="3" t="inlineStr">
        <is>
          <t>E2E scenarios (E2E)</t>
        </is>
      </c>
      <c r="B204" s="3" t="inlineStr">
        <is>
          <t>E2E-R1-06</t>
        </is>
      </c>
      <c r="C204" s="3" t="inlineStr">
        <is>
          <t>Policy authored → submitted → self-approval blocked (SoD) → reviewer approves with step-up → scheduled → published at effective date (test clock) → old version watermarked as superseded in PDF | FR-G04/G05/G10, FR-PL01</t>
        </is>
      </c>
      <c r="D204" s="3" t="inlineStr">
        <is>
          <t>23-E2E-TEST-PLAN.md</t>
        </is>
      </c>
      <c r="E204" s="3" t="inlineStr">
        <is>
          <t>Not started</t>
        </is>
      </c>
    </row>
    <row r="205">
      <c r="A205" s="3" t="inlineStr">
        <is>
          <t>E2E scenarios (E2E)</t>
        </is>
      </c>
      <c r="B205" s="3" t="inlineStr">
        <is>
          <t>E2E-R1-07</t>
        </is>
      </c>
      <c r="C205" s="3" t="inlineStr">
        <is>
          <t>Major version publish triggers a re-ack campaign; 50 employees ack (10 at mobile viewport); evidence export lists version hash and auth method | FR-PL03, FR-AK01–04</t>
        </is>
      </c>
      <c r="D205" s="3" t="inlineStr">
        <is>
          <t>23-E2E-TEST-PLAN.md</t>
        </is>
      </c>
      <c r="E205" s="3" t="inlineStr">
        <is>
          <t>Not started</t>
        </is>
      </c>
    </row>
    <row r="206">
      <c r="A206" s="3" t="inlineStr">
        <is>
          <t>E2E scenarios (E2E)</t>
        </is>
      </c>
      <c r="B206" s="3" t="inlineStr">
        <is>
          <t>E2E-R1-08</t>
        </is>
      </c>
      <c r="C206" s="3" t="inlineStr">
        <is>
          <t>New joiner added to a department automatically receives outstanding applicable campaigns | FR-AK03</t>
        </is>
      </c>
      <c r="D206" s="3" t="inlineStr">
        <is>
          <t>23-E2E-TEST-PLAN.md</t>
        </is>
      </c>
      <c r="E206" s="3" t="inlineStr">
        <is>
          <t>Not started</t>
        </is>
      </c>
    </row>
    <row r="207">
      <c r="A207" s="3" t="inlineStr">
        <is>
          <t>E2E scenarios (E2E)</t>
        </is>
      </c>
      <c r="B207" s="3" t="inlineStr">
        <is>
          <t>E2E-R1-09</t>
        </is>
      </c>
      <c r="C207" s="3" t="inlineStr">
        <is>
          <t>Announcement to location "Bangalore" with ack in 3 days; reminders; manager escalation after deadline (test clock); ack % by department correct | FR-AN01–06, J14</t>
        </is>
      </c>
      <c r="D207" s="3" t="inlineStr">
        <is>
          <t>23-E2E-TEST-PLAN.md</t>
        </is>
      </c>
      <c r="E207" s="3" t="inlineStr">
        <is>
          <t>Not started</t>
        </is>
      </c>
    </row>
    <row r="208">
      <c r="A208" s="3" t="inlineStr">
        <is>
          <t>E2E scenarios (E2E)</t>
        </is>
      </c>
      <c r="B208" s="3" t="inlineStr">
        <is>
          <t>E2E-R1-10</t>
        </is>
      </c>
      <c r="C208" s="3" t="inlineStr">
        <is>
          <t>Announcement approval workflow: draft → reviewer → publish; expiry archives it | FX-C01, FR-AN03</t>
        </is>
      </c>
      <c r="D208" s="3" t="inlineStr">
        <is>
          <t>23-E2E-TEST-PLAN.md</t>
        </is>
      </c>
      <c r="E208" s="3" t="inlineStr">
        <is>
          <t>Not started</t>
        </is>
      </c>
    </row>
    <row r="209">
      <c r="A209" s="3" t="inlineStr">
        <is>
          <t>E2E scenarios (E2E)</t>
        </is>
      </c>
      <c r="B209" s="3" t="inlineStr">
        <is>
          <t>E2E-R1-11</t>
        </is>
      </c>
      <c r="C209" s="3" t="inlineStr">
        <is>
          <t>File upload (resumable 50 MB): clean file previews; **EICAR quarantined** and undownloadable; signed URL expires and fails from workspace B | FR-F01–F03, SEC-10</t>
        </is>
      </c>
      <c r="D209" s="3" t="inlineStr">
        <is>
          <t>23-E2E-TEST-PLAN.md</t>
        </is>
      </c>
      <c r="E209" s="3" t="inlineStr">
        <is>
          <t>Not started</t>
        </is>
      </c>
    </row>
    <row r="210">
      <c r="A210" s="3" t="inlineStr">
        <is>
          <t>E2E scenarios (E2E)</t>
        </is>
      </c>
      <c r="B210" s="3" t="inlineStr">
        <is>
          <t>E2E-R1-12</t>
        </is>
      </c>
      <c r="C210" s="3" t="inlineStr">
        <is>
          <t>Files view: filter by scan state/type/size, bulk retention change, held file deletion refused | FR-F06, FR-V</t>
        </is>
      </c>
      <c r="D210" s="3" t="inlineStr">
        <is>
          <t>23-E2E-TEST-PLAN.md</t>
        </is>
      </c>
      <c r="E210" s="3" t="inlineStr">
        <is>
          <t>Not started</t>
        </is>
      </c>
    </row>
    <row r="211">
      <c r="A211" s="3" t="inlineStr">
        <is>
          <t>E2E scenarios (E2E)</t>
        </is>
      </c>
      <c r="B211" s="3" t="inlineStr">
        <is>
          <t>E2E-R1-13</t>
        </is>
      </c>
      <c r="C211" s="3" t="inlineStr">
        <is>
          <t>DataGrid: multi-sort, typed filters, AND/OR group, saved view shared to a role, URL deep link restores view, CSV/XLSX export matches view and redaction | FR-V01–V07</t>
        </is>
      </c>
      <c r="D211" s="3" t="inlineStr">
        <is>
          <t>23-E2E-TEST-PLAN.md</t>
        </is>
      </c>
      <c r="E211" s="3" t="inlineStr">
        <is>
          <t>Not started</t>
        </is>
      </c>
    </row>
    <row r="212">
      <c r="A212" s="3" t="inlineStr">
        <is>
          <t>E2E scenarios (E2E)</t>
        </is>
      </c>
      <c r="B212" s="3" t="inlineStr">
        <is>
          <t>E2E-R1-14</t>
        </is>
      </c>
      <c r="C212" s="3" t="inlineStr">
        <is>
          <t>Audit: perform 10 actions → audit explorer filter by actor → user timeline shows them in order → `/__test/audit/verify` OK | FR-T01–T04</t>
        </is>
      </c>
      <c r="D212" s="3" t="inlineStr">
        <is>
          <t>23-E2E-TEST-PLAN.md</t>
        </is>
      </c>
      <c r="E212" s="3" t="inlineStr">
        <is>
          <t>Not started</t>
        </is>
      </c>
    </row>
    <row r="213">
      <c r="A213" s="3" t="inlineStr">
        <is>
          <t>E2E scenarios (E2E)</t>
        </is>
      </c>
      <c r="B213" s="3" t="inlineStr">
        <is>
          <t>E2E-R1-15</t>
        </is>
      </c>
      <c r="C213" s="3" t="inlineStr">
        <is>
          <t>Workspace overview dashboard: every tile drills into a pre-filtered grid with matching counts | FR-A01</t>
        </is>
      </c>
      <c r="D213" s="3" t="inlineStr">
        <is>
          <t>23-E2E-TEST-PLAN.md</t>
        </is>
      </c>
      <c r="E213" s="3" t="inlineStr">
        <is>
          <t>Not started</t>
        </is>
      </c>
    </row>
    <row r="214">
      <c r="A214" s="3" t="inlineStr">
        <is>
          <t>E2E scenarios (E2E)</t>
        </is>
      </c>
      <c r="B214" s="3" t="inlineStr">
        <is>
          <t>E2E-R1-16</t>
        </is>
      </c>
      <c r="C214" s="3" t="inlineStr">
        <is>
          <t>Member deactivated → sessions revoked immediately → cannot log in or act | SEC-04, FR-W01</t>
        </is>
      </c>
      <c r="D214" s="3" t="inlineStr">
        <is>
          <t>23-E2E-TEST-PLAN.md</t>
        </is>
      </c>
      <c r="E214" s="3" t="inlineStr">
        <is>
          <t>Not started</t>
        </is>
      </c>
    </row>
    <row r="215">
      <c r="A215" s="3" t="inlineStr">
        <is>
          <t>E2E scenarios (E2E)</t>
        </is>
      </c>
      <c r="B215" s="3" t="inlineStr">
        <is>
          <t>E2E-R1-17</t>
        </is>
      </c>
      <c r="C215" s="3" t="inlineStr">
        <is>
          <t>System admin suspends workspace B (read-only) → writes return 423 with banner → restore | FR-S02, J8</t>
        </is>
      </c>
      <c r="D215" s="3" t="inlineStr">
        <is>
          <t>23-E2E-TEST-PLAN.md</t>
        </is>
      </c>
      <c r="E215" s="3" t="inlineStr">
        <is>
          <t>Not started</t>
        </is>
      </c>
    </row>
    <row r="216">
      <c r="A216" s="3" t="inlineStr">
        <is>
          <t>E2E scenarios (E2E)</t>
        </is>
      </c>
      <c r="B216" s="3" t="inlineStr">
        <is>
          <t>E2E-R1-18</t>
        </is>
      </c>
      <c r="C216" s="3" t="inlineStr">
        <is>
          <t>Startup day-one (J12): Starter profile → install policy-ack pack → publish handbook → 20 employees ack on phones in &lt; 15 min wall-clock | J12</t>
        </is>
      </c>
      <c r="D216" s="3" t="inlineStr">
        <is>
          <t>23-E2E-TEST-PLAN.md</t>
        </is>
      </c>
      <c r="E216" s="3" t="inlineStr">
        <is>
          <t>Not started</t>
        </is>
      </c>
    </row>
    <row r="217">
      <c r="A217" s="3" t="inlineStr">
        <is>
          <t>E2E scenarios (E2E)</t>
        </is>
      </c>
      <c r="B217" s="3" t="inlineStr">
        <is>
          <t>E2E-R1-19</t>
        </is>
      </c>
      <c r="C217" s="3" t="inlineStr">
        <is>
          <t>Keyboard-only: publish a policy and acknowledge it without a mouse | A11Y-01, T10</t>
        </is>
      </c>
      <c r="D217" s="3" t="inlineStr">
        <is>
          <t>23-E2E-TEST-PLAN.md</t>
        </is>
      </c>
      <c r="E217" s="3" t="inlineStr">
        <is>
          <t>Not started</t>
        </is>
      </c>
    </row>
    <row r="218">
      <c r="A218" s="3" t="inlineStr">
        <is>
          <t>E2E scenarios (E2E)</t>
        </is>
      </c>
      <c r="B218" s="3" t="inlineStr">
        <is>
          <t>E2E-R1-ISO</t>
        </is>
      </c>
      <c r="C218" s="3" t="inlineStr">
        <is>
          <t>Isolation sweep: B users probe every A object id captured during the pack → 404 + audit `denied` | SEC-01/02</t>
        </is>
      </c>
      <c r="D218" s="3" t="inlineStr">
        <is>
          <t>23-E2E-TEST-PLAN.md</t>
        </is>
      </c>
      <c r="E218" s="3" t="inlineStr">
        <is>
          <t>Not started</t>
        </is>
      </c>
    </row>
    <row r="219">
      <c r="A219" s="3" t="inlineStr">
        <is>
          <t>E2E scenarios (E2E)</t>
        </is>
      </c>
      <c r="B219" s="3" t="inlineStr">
        <is>
          <t>E2E-R2-01</t>
        </is>
      </c>
      <c r="C219" s="3" t="inlineStr">
        <is>
          <t>Install "Purchase requisition", map role placeholders, test run (no emails sent, nothing in metrics), publish | FR-G08, FR-E11</t>
        </is>
      </c>
      <c r="D219" s="3" t="inlineStr">
        <is>
          <t>23-E2E-TEST-PLAN.md</t>
        </is>
      </c>
      <c r="E219" s="3" t="inlineStr">
        <is>
          <t>Not started</t>
        </is>
      </c>
    </row>
    <row r="220">
      <c r="A220" s="3" t="inlineStr">
        <is>
          <t>E2E scenarios (E2E)</t>
        </is>
      </c>
      <c r="B220" s="3" t="inlineStr">
        <is>
          <t>E2E-R2-02</t>
        </is>
      </c>
      <c r="C220" s="3" t="inlineStr">
        <is>
          <t>Purchase 30 000 → manager approves; 120 000 → rule table routes to finance; rule version recorded in timeline | FR-E10, J3</t>
        </is>
      </c>
      <c r="D220" s="3" t="inlineStr">
        <is>
          <t>23-E2E-TEST-PLAN.md</t>
        </is>
      </c>
      <c r="E220" s="3" t="inlineStr">
        <is>
          <t>Not started</t>
        </is>
      </c>
    </row>
    <row r="221">
      <c r="A221" s="3" t="inlineStr">
        <is>
          <t>E2E scenarios (E2E)</t>
        </is>
      </c>
      <c r="B221" s="3" t="inlineStr">
        <is>
          <t>E2E-R2-03</t>
        </is>
      </c>
      <c r="C221" s="3" t="inlineStr">
        <is>
          <t>Duplicate submit with the same Idempotency-Key returns the same request; a different body returns 409 | 08 §2</t>
        </is>
      </c>
      <c r="D221" s="3" t="inlineStr">
        <is>
          <t>23-E2E-TEST-PLAN.md</t>
        </is>
      </c>
      <c r="E221" s="3" t="inlineStr">
        <is>
          <t>Not started</t>
        </is>
      </c>
    </row>
    <row r="222">
      <c r="A222" s="3" t="inlineStr">
        <is>
          <t>E2E scenarios (E2E)</t>
        </is>
      </c>
      <c r="B222" s="3" t="inlineStr">
        <is>
          <t>E2E-R2-04</t>
        </is>
      </c>
      <c r="C222" s="3" t="inlineStr">
        <is>
          <t>Double approval race:** two approvers decide concurrently → exactly one commit, the other gets `already_decided` | T01</t>
        </is>
      </c>
      <c r="D222" s="3" t="inlineStr">
        <is>
          <t>23-E2E-TEST-PLAN.md</t>
        </is>
      </c>
      <c r="E222" s="3" t="inlineStr">
        <is>
          <t>Not started</t>
        </is>
      </c>
    </row>
    <row r="223">
      <c r="A223" s="3" t="inlineStr">
        <is>
          <t>E2E scenarios (E2E)</t>
        </is>
      </c>
      <c r="B223" s="3" t="inlineStr">
        <is>
          <t>E2E-R2-05</t>
        </is>
      </c>
      <c r="C223" s="3" t="inlineStr">
        <is>
          <t>Kill worker after commit** (fault) → instance still progresses after restart; no duplicate email | T02</t>
        </is>
      </c>
      <c r="D223" s="3" t="inlineStr">
        <is>
          <t>23-E2E-TEST-PLAN.md</t>
        </is>
      </c>
      <c r="E223" s="3" t="inlineStr">
        <is>
          <t>Not started</t>
        </is>
      </c>
    </row>
    <row r="224">
      <c r="A224" s="3" t="inlineStr">
        <is>
          <t>E2E scenarios (E2E)</t>
        </is>
      </c>
      <c r="B224" s="3" t="inlineStr">
        <is>
          <t>E2E-R2-06</t>
        </is>
      </c>
      <c r="C224" s="3" t="inlineStr">
        <is>
          <t>30-day wait timer: publish v2 mid-flight → advance clock 30 d → instance completes on pinned v1 | T03, FR-E07</t>
        </is>
      </c>
      <c r="D224" s="3" t="inlineStr">
        <is>
          <t>23-E2E-TEST-PLAN.md</t>
        </is>
      </c>
      <c r="E224" s="3" t="inlineStr">
        <is>
          <t>Not started</t>
        </is>
      </c>
    </row>
    <row r="225">
      <c r="A225" s="3" t="inlineStr">
        <is>
          <t>E2E scenarios (E2E)</t>
        </is>
      </c>
      <c r="B225" s="3" t="inlineStr">
        <is>
          <t>E2E-R2-07</t>
        </is>
      </c>
      <c r="C225" s="3" t="inlineStr">
        <is>
          <t>Onboarding (J1): HR starts, manager approves, parallel IT + facilities tasks join, employee tracks progress | J1</t>
        </is>
      </c>
      <c r="D225" s="3" t="inlineStr">
        <is>
          <t>23-E2E-TEST-PLAN.md</t>
        </is>
      </c>
      <c r="E225" s="3" t="inlineStr">
        <is>
          <t>Not started</t>
        </is>
      </c>
    </row>
    <row r="226">
      <c r="A226" s="3" t="inlineStr">
        <is>
          <t>E2E scenarios (E2E)</t>
        </is>
      </c>
      <c r="B226" s="3" t="inlineStr">
        <is>
          <t>E2E-R2-08</t>
        </is>
      </c>
      <c r="C226" s="3" t="inlineStr">
        <is>
          <t>Out-of-office: manager sets a substitute → new approvals route to them → "on behalf of" recorded → expiry restores routing → substitute who is the initiator is excluded (SoD) | FR-E04, J7, T05</t>
        </is>
      </c>
      <c r="D226" s="3" t="inlineStr">
        <is>
          <t>23-E2E-TEST-PLAN.md</t>
        </is>
      </c>
      <c r="E226" s="3" t="inlineStr">
        <is>
          <t>Not started</t>
        </is>
      </c>
    </row>
    <row r="227">
      <c r="A227" s="3" t="inlineStr">
        <is>
          <t>E2E scenarios (E2E)</t>
        </is>
      </c>
      <c r="B227" s="3" t="inlineStr">
        <is>
          <t>E2E-R2-09</t>
        </is>
      </c>
      <c r="C227" s="3" t="inlineStr">
        <is>
          <t>Send back to an earlier step with comment → requester edits → resubmits → approver sees diff | FX-E05</t>
        </is>
      </c>
      <c r="D227" s="3" t="inlineStr">
        <is>
          <t>23-E2E-TEST-PLAN.md</t>
        </is>
      </c>
      <c r="E227" s="3" t="inlineStr">
        <is>
          <t>Not started</t>
        </is>
      </c>
    </row>
    <row r="228">
      <c r="A228" s="3" t="inlineStr">
        <is>
          <t>E2E scenarios (E2E)</t>
        </is>
      </c>
      <c r="B228" s="3" t="inlineStr">
        <is>
          <t>E2E-R2-10</t>
        </is>
      </c>
      <c r="C228" s="3" t="inlineStr">
        <is>
          <t>SLA on business calendar (IN holidays) → at-risk → breach notification to process owner (test clock) | FR-E12</t>
        </is>
      </c>
      <c r="D228" s="3" t="inlineStr">
        <is>
          <t>23-E2E-TEST-PLAN.md</t>
        </is>
      </c>
      <c r="E228" s="3" t="inlineStr">
        <is>
          <t>Not started</t>
        </is>
      </c>
    </row>
    <row r="229">
      <c r="A229" s="3" t="inlineStr">
        <is>
          <t>E2E scenarios (E2E)</t>
        </is>
      </c>
      <c r="B229" s="3" t="inlineStr">
        <is>
          <t>E2E-R2-11</t>
        </is>
      </c>
      <c r="C229" s="3" t="inlineStr">
        <is>
          <t>Escalation reassign after P2D; controlled process forbids auto-approve | 11 §3.2</t>
        </is>
      </c>
      <c r="D229" s="3" t="inlineStr">
        <is>
          <t>23-E2E-TEST-PLAN.md</t>
        </is>
      </c>
      <c r="E229" s="3" t="inlineStr">
        <is>
          <t>Not started</t>
        </is>
      </c>
    </row>
    <row r="230">
      <c r="A230" s="3" t="inlineStr">
        <is>
          <t>E2E scenarios (E2E)</t>
        </is>
      </c>
      <c r="B230" s="3" t="inlineStr">
        <is>
          <t>E2E-R2-12</t>
        </is>
      </c>
      <c r="C230" s="3" t="inlineStr">
        <is>
          <t>Form: calculation, conditional section, repeating line items, URL prefill, server rejects tampered payload | FR-E03, FX-F01–F03</t>
        </is>
      </c>
      <c r="D230" s="3" t="inlineStr">
        <is>
          <t>23-E2E-TEST-PLAN.md</t>
        </is>
      </c>
      <c r="E230" s="3" t="inlineStr">
        <is>
          <t>Not started</t>
        </is>
      </c>
    </row>
    <row r="231">
      <c r="A231" s="3" t="inlineStr">
        <is>
          <t>E2E scenarios (E2E)</t>
        </is>
      </c>
      <c r="B231" s="3" t="inlineStr">
        <is>
          <t>E2E-R2-13</t>
        </is>
      </c>
      <c r="C231" s="3" t="inlineStr">
        <is>
          <t>Designer keyboard-only: build a 4-step process, validation errors link to nodes, publish | FR-E01, T10</t>
        </is>
      </c>
      <c r="D231" s="3" t="inlineStr">
        <is>
          <t>23-E2E-TEST-PLAN.md</t>
        </is>
      </c>
      <c r="E231" s="3" t="inlineStr">
        <is>
          <t>Not started</t>
        </is>
      </c>
    </row>
    <row r="232">
      <c r="A232" s="3" t="inlineStr">
        <is>
          <t>E2E scenarios (E2E)</t>
        </is>
      </c>
      <c r="B232" s="3" t="inlineStr">
        <is>
          <t>E2E-R2-14</t>
        </is>
      </c>
      <c r="C232" s="3" t="inlineStr">
        <is>
          <t>Failed step raises an incident → admin retries → instance continues; exactly one open incident | FR-E13</t>
        </is>
      </c>
      <c r="D232" s="3" t="inlineStr">
        <is>
          <t>23-E2E-TEST-PLAN.md</t>
        </is>
      </c>
      <c r="E232" s="3" t="inlineStr">
        <is>
          <t>Not started</t>
        </is>
      </c>
    </row>
    <row r="233">
      <c r="A233" s="3" t="inlineStr">
        <is>
          <t>E2E scenarios (E2E)</t>
        </is>
      </c>
      <c r="B233" s="3" t="inlineStr">
        <is>
          <t>E2E-R2-15</t>
        </is>
      </c>
      <c r="C233" s="3" t="inlineStr">
        <is>
          <t>My Work: j/k/a triage, decision in ≤ 3 interactions, acks tab shows pending campaigns | FR-R03</t>
        </is>
      </c>
      <c r="D233" s="3" t="inlineStr">
        <is>
          <t>23-E2E-TEST-PLAN.md</t>
        </is>
      </c>
      <c r="E233" s="3" t="inlineStr">
        <is>
          <t>Not started</t>
        </is>
      </c>
    </row>
    <row r="234">
      <c r="A234" s="3" t="inlineStr">
        <is>
          <t>E2E scenarios (E2E)</t>
        </is>
      </c>
      <c r="B234" s="3" t="inlineStr">
        <is>
          <t>E2E-R2-16</t>
        </is>
      </c>
      <c r="C234" s="3" t="inlineStr">
        <is>
          <t>Restricted variable (salary) hidden from approver without grant in UI, API, export, email body and search | SEC-03</t>
        </is>
      </c>
      <c r="D234" s="3" t="inlineStr">
        <is>
          <t>23-E2E-TEST-PLAN.md</t>
        </is>
      </c>
      <c r="E234" s="3" t="inlineStr">
        <is>
          <t>Not started</t>
        </is>
      </c>
    </row>
    <row r="235">
      <c r="A235" s="3" t="inlineStr">
        <is>
          <t>E2E scenarios (E2E)</t>
        </is>
      </c>
      <c r="B235" s="3" t="inlineStr">
        <is>
          <t>E2E-R2-ISO</t>
        </is>
      </c>
      <c r="C235" s="3" t="inlineStr">
        <is>
          <t>Isolation sweep incl. work items, requests, forms, rule tables | SEC-01/02</t>
        </is>
      </c>
      <c r="D235" s="3" t="inlineStr">
        <is>
          <t>23-E2E-TEST-PLAN.md</t>
        </is>
      </c>
      <c r="E235" s="3" t="inlineStr">
        <is>
          <t>Not started</t>
        </is>
      </c>
    </row>
    <row r="236">
      <c r="A236" s="3" t="inlineStr">
        <is>
          <t>E2E scenarios (E2E)</t>
        </is>
      </c>
      <c r="B236" s="3" t="inlineStr">
        <is>
          <t>E2E-R3-01</t>
        </is>
      </c>
      <c r="C236" s="3" t="inlineStr">
        <is>
          <t>Admin monitoring (J9): overview → 12 overdue in Finance → filtered grid → bulk reassign with reason and preview → per-item audit → save view | J9, FR-A02/A03</t>
        </is>
      </c>
      <c r="D236" s="3" t="inlineStr">
        <is>
          <t>23-E2E-TEST-PLAN.md</t>
        </is>
      </c>
      <c r="E236" s="3" t="inlineStr">
        <is>
          <t>Not started</t>
        </is>
      </c>
    </row>
    <row r="237">
      <c r="A237" s="3" t="inlineStr">
        <is>
          <t>E2E scenarios (E2E)</t>
        </is>
      </c>
      <c r="B237" s="3" t="inlineStr">
        <is>
          <t>E2E-R3-02</t>
        </is>
      </c>
      <c r="C237" s="3" t="inlineStr">
        <is>
          <t>DoA matrix: amount and position limits route to the correct approver; matrix version pinned | FX-D01/D02</t>
        </is>
      </c>
      <c r="D237" s="3" t="inlineStr">
        <is>
          <t>23-E2E-TEST-PLAN.md</t>
        </is>
      </c>
      <c r="E237" s="3" t="inlineStr">
        <is>
          <t>Not started</t>
        </is>
      </c>
    </row>
    <row r="238">
      <c r="A238" s="3" t="inlineStr">
        <is>
          <t>E2E scenarios (E2E)</t>
        </is>
      </c>
      <c r="B238" s="3" t="inlineStr">
        <is>
          <t>E2E-R3-03</t>
        </is>
      </c>
      <c r="C238" s="3" t="inlineStr">
        <is>
          <t>Recall/withdraw then restart as a linked copy; edit-after-submit with per-step editable fields | FX-E04/E06</t>
        </is>
      </c>
      <c r="D238" s="3" t="inlineStr">
        <is>
          <t>23-E2E-TEST-PLAN.md</t>
        </is>
      </c>
      <c r="E238" s="3" t="inlineStr">
        <is>
          <t>Not started</t>
        </is>
      </c>
    </row>
    <row r="239">
      <c r="A239" s="3" t="inlineStr">
        <is>
          <t>E2E scenarios (E2E)</t>
        </is>
      </c>
      <c r="B239" s="3" t="inlineStr">
        <is>
          <t>E2E-R3-04</t>
        </is>
      </c>
      <c r="C239" s="3" t="inlineStr">
        <is>
          <t>Request on behalf of: beneficiary sees status; initiator ≠ beneficiary in audit | FX-E03</t>
        </is>
      </c>
      <c r="D239" s="3" t="inlineStr">
        <is>
          <t>23-E2E-TEST-PLAN.md</t>
        </is>
      </c>
      <c r="E239" s="3" t="inlineStr">
        <is>
          <t>Not started</t>
        </is>
      </c>
    </row>
    <row r="240">
      <c r="A240" s="3" t="inlineStr">
        <is>
          <t>E2E scenarios (E2E)</t>
        </is>
      </c>
      <c r="B240" s="3" t="inlineStr">
        <is>
          <t>E2E-R3-05</t>
        </is>
      </c>
      <c r="C240" s="3" t="inlineStr">
        <is>
          <t>Master data: CSV import of cost centres → cascading dropdown in form → version change doesn't alter running requests | FX-E02</t>
        </is>
      </c>
      <c r="D240" s="3" t="inlineStr">
        <is>
          <t>23-E2E-TEST-PLAN.md</t>
        </is>
      </c>
      <c r="E240" s="3" t="inlineStr">
        <is>
          <t>Not started</t>
        </is>
      </c>
    </row>
    <row r="241">
      <c r="A241" s="3" t="inlineStr">
        <is>
          <t>E2E scenarios (E2E)</t>
        </is>
      </c>
      <c r="B241" s="3" t="inlineStr">
        <is>
          <t>E2E-R3-06</t>
        </is>
      </c>
      <c r="C241" s="3" t="inlineStr">
        <is>
          <t>E-sign: upload PDF, place fields (mouse and keyboard), sequential then parallel signers, consent step, sign on mobile, certificate of completion, tamper check fails after byte change | FR-DS01–DS06</t>
        </is>
      </c>
      <c r="D241" s="3" t="inlineStr">
        <is>
          <t>23-E2E-TEST-PLAN.md</t>
        </is>
      </c>
      <c r="E241" s="3" t="inlineStr">
        <is>
          <t>Not started</t>
        </is>
      </c>
    </row>
    <row r="242">
      <c r="A242" s="3" t="inlineStr">
        <is>
          <t>E2E scenarios (E2E)</t>
        </is>
      </c>
      <c r="B242" s="3" t="inlineStr">
        <is>
          <t>E2E-R3-07</t>
        </is>
      </c>
      <c r="C242" s="3" t="inlineStr">
        <is>
          <t>Bulk sign 1 000 recipients** (J13): async progress, reminders, decline with reason, manager escalation, overdue export | J13</t>
        </is>
      </c>
      <c r="D242" s="3" t="inlineStr">
        <is>
          <t>23-E2E-TEST-PLAN.md</t>
        </is>
      </c>
      <c r="E242" s="3" t="inlineStr">
        <is>
          <t>Not started</t>
        </is>
      </c>
    </row>
    <row r="243">
      <c r="A243" s="3" t="inlineStr">
        <is>
          <t>E2E scenarios (E2E)</t>
        </is>
      </c>
      <c r="B243" s="3" t="inlineStr">
        <is>
          <t>E2E-R3-08</t>
        </is>
      </c>
      <c r="C243" s="3" t="inlineStr">
        <is>
          <t>"Not e-signable" template flag blocks sending with guidance | FX-S06</t>
        </is>
      </c>
      <c r="D243" s="3" t="inlineStr">
        <is>
          <t>23-E2E-TEST-PLAN.md</t>
        </is>
      </c>
      <c r="E243" s="3" t="inlineStr">
        <is>
          <t>Not started</t>
        </is>
      </c>
    </row>
    <row r="244">
      <c r="A244" s="3" t="inlineStr">
        <is>
          <t>E2E scenarios (E2E)</t>
        </is>
      </c>
      <c r="B244" s="3" t="inlineStr">
        <is>
          <t>E2E-R3-09</t>
        </is>
      </c>
      <c r="C244" s="3" t="inlineStr">
        <is>
          <t>File lifecycle (J11): invoice attached, scanned, previewed, locked on completion, visible in Files view with retention class | J11</t>
        </is>
      </c>
      <c r="D244" s="3" t="inlineStr">
        <is>
          <t>23-E2E-TEST-PLAN.md</t>
        </is>
      </c>
      <c r="E244" s="3" t="inlineStr">
        <is>
          <t>Not started</t>
        </is>
      </c>
    </row>
    <row r="245">
      <c r="A245" s="3" t="inlineStr">
        <is>
          <t>E2E scenarios (E2E)</t>
        </is>
      </c>
      <c r="B245" s="3" t="inlineStr">
        <is>
          <t>E2E-R3-10</t>
        </is>
      </c>
      <c r="C245" s="3" t="inlineStr">
        <is>
          <t>BPMN import of a sample with an inclusive gateway → compatibility report lists the element id | FR-G09</t>
        </is>
      </c>
      <c r="D245" s="3" t="inlineStr">
        <is>
          <t>23-E2E-TEST-PLAN.md</t>
        </is>
      </c>
      <c r="E245" s="3" t="inlineStr">
        <is>
          <t>Not started</t>
        </is>
      </c>
    </row>
    <row r="246">
      <c r="A246" s="3" t="inlineStr">
        <is>
          <t>E2E scenarios (E2E)</t>
        </is>
      </c>
      <c r="B246" s="3" t="inlineStr">
        <is>
          <t>E2E-R3-11</t>
        </is>
      </c>
      <c r="C246" s="3" t="inlineStr">
        <is>
          <t>Process health and ops monitor numbers reconcile with raw events | FR-A04/A05</t>
        </is>
      </c>
      <c r="D246" s="3" t="inlineStr">
        <is>
          <t>23-E2E-TEST-PLAN.md</t>
        </is>
      </c>
      <c r="E246" s="3" t="inlineStr">
        <is>
          <t>Not started</t>
        </is>
      </c>
    </row>
    <row r="247">
      <c r="A247" s="3" t="inlineStr">
        <is>
          <t>E2E scenarios (E2E)</t>
        </is>
      </c>
      <c r="B247" s="3" t="inlineStr">
        <is>
          <t>E2E-R3-12</t>
        </is>
      </c>
      <c r="C247" s="3" t="inlineStr">
        <is>
          <t>All 13 Wave-1 templates: install → test run green (data-driven) | TPL-*, 19</t>
        </is>
      </c>
      <c r="D247" s="3" t="inlineStr">
        <is>
          <t>23-E2E-TEST-PLAN.md</t>
        </is>
      </c>
      <c r="E247" s="3" t="inlineStr">
        <is>
          <t>Not started</t>
        </is>
      </c>
    </row>
    <row r="248">
      <c r="A248" s="3" t="inlineStr">
        <is>
          <t>E2E scenarios (E2E)</t>
        </is>
      </c>
      <c r="B248" s="3" t="inlineStr">
        <is>
          <t>E2E-R3-MOB</t>
        </is>
      </c>
      <c r="C248" s="3" t="inlineStr">
        <is>
          <t>Mobile pack (360×740, touch): start request, approve, ack, sign | FR-P07</t>
        </is>
      </c>
      <c r="D248" s="3" t="inlineStr">
        <is>
          <t>23-E2E-TEST-PLAN.md</t>
        </is>
      </c>
      <c r="E248" s="3" t="inlineStr">
        <is>
          <t>Not started</t>
        </is>
      </c>
    </row>
    <row r="249">
      <c r="A249" s="3" t="inlineStr">
        <is>
          <t>E2E scenarios (E2E)</t>
        </is>
      </c>
      <c r="B249" s="3" t="inlineStr">
        <is>
          <t>E2E-R3-ISO</t>
        </is>
      </c>
      <c r="C249" s="3" t="inlineStr">
        <is>
          <t>Isolation sweep incl. envelopes, master data, files | SEC-01/02/10</t>
        </is>
      </c>
      <c r="D249" s="3" t="inlineStr">
        <is>
          <t>23-E2E-TEST-PLAN.md</t>
        </is>
      </c>
      <c r="E249" s="3" t="inlineStr">
        <is>
          <t>Not started</t>
        </is>
      </c>
    </row>
    <row r="250">
      <c r="A250" s="3" t="inlineStr">
        <is>
          <t>E2E scenarios (E2E)</t>
        </is>
      </c>
      <c r="B250" s="3" t="inlineStr">
        <is>
          <t>E2E-R4-01</t>
        </is>
      </c>
      <c r="C250" s="3" t="inlineStr">
        <is>
          <t>OIDC SSO via Keycloak; SSO enforcement blocks local login except break-glass owner | FR-P02</t>
        </is>
      </c>
      <c r="D250" s="3" t="inlineStr">
        <is>
          <t>23-E2E-TEST-PLAN.md</t>
        </is>
      </c>
      <c r="E250" s="3" t="inlineStr">
        <is>
          <t>Not started</t>
        </is>
      </c>
    </row>
    <row r="251">
      <c r="A251" s="3" t="inlineStr">
        <is>
          <t>E2E scenarios (E2E)</t>
        </is>
      </c>
      <c r="B251" s="3" t="inlineStr">
        <is>
          <t>E2E-R4-02</t>
        </is>
      </c>
      <c r="C251" s="3" t="inlineStr">
        <is>
          <t>SCIM create/update/deactivate → access revoked and work re-routed &lt; 5 min | INT-003, SEC-04</t>
        </is>
      </c>
      <c r="D251" s="3" t="inlineStr">
        <is>
          <t>23-E2E-TEST-PLAN.md</t>
        </is>
      </c>
      <c r="E251" s="3" t="inlineStr">
        <is>
          <t>Not started</t>
        </is>
      </c>
    </row>
    <row r="252">
      <c r="A252" s="3" t="inlineStr">
        <is>
          <t>E2E scenarios (E2E)</t>
        </is>
      </c>
      <c r="B252" s="3" t="inlineStr">
        <is>
          <t>E2E-R4-03</t>
        </is>
      </c>
      <c r="C252" s="3" t="inlineStr">
        <is>
          <t>Scoped admin (Finance dept) cannot see or grant outside scope; escalation attempt denied | CFG-018</t>
        </is>
      </c>
      <c r="D252" s="3" t="inlineStr">
        <is>
          <t>23-E2E-TEST-PLAN.md</t>
        </is>
      </c>
      <c r="E252" s="3" t="inlineStr">
        <is>
          <t>Not started</t>
        </is>
      </c>
    </row>
    <row r="253">
      <c r="A253" s="3" t="inlineStr">
        <is>
          <t>E2E scenarios (E2E)</t>
        </is>
      </c>
      <c r="B253" s="3" t="inlineStr">
        <is>
          <t>E2E-R4-04</t>
        </is>
      </c>
      <c r="C253" s="3" t="inlineStr">
        <is>
          <t>Webhook delivered with valid Standard Webhooks signature; replay outside tolerance rejected by receiver; retries on 500; disabled on 410 | WH-01–04</t>
        </is>
      </c>
      <c r="D253" s="3" t="inlineStr">
        <is>
          <t>23-E2E-TEST-PLAN.md</t>
        </is>
      </c>
      <c r="E253" s="3" t="inlineStr">
        <is>
          <t>Not started</t>
        </is>
      </c>
    </row>
    <row r="254">
      <c r="A254" s="3" t="inlineStr">
        <is>
          <t>E2E scenarios (E2E)</t>
        </is>
      </c>
      <c r="B254" s="3" t="inlineStr">
        <is>
          <t>E2E-R4-05</t>
        </is>
      </c>
      <c r="C254" s="3" t="inlineStr">
        <is>
          <t>HTTP connector to `169.254.169.254` and to private IP refused (SSRF); allowlisted host OK | SSRF-01–06</t>
        </is>
      </c>
      <c r="D254" s="3" t="inlineStr">
        <is>
          <t>23-E2E-TEST-PLAN.md</t>
        </is>
      </c>
      <c r="E254" s="3" t="inlineStr">
        <is>
          <t>Not started</t>
        </is>
      </c>
    </row>
    <row r="255">
      <c r="A255" s="3" t="inlineStr">
        <is>
          <t>E2E scenarios (E2E)</t>
        </is>
      </c>
      <c r="B255" s="3" t="inlineStr">
        <is>
          <t>E2E-R4-06</t>
        </is>
      </c>
      <c r="C255" s="3" t="inlineStr">
        <is>
          <t>Email-actionable approval: link → confirm page → approve; reusing link fails; a GET never mutates | FR-N03</t>
        </is>
      </c>
      <c r="D255" s="3" t="inlineStr">
        <is>
          <t>23-E2E-TEST-PLAN.md</t>
        </is>
      </c>
      <c r="E255" s="3" t="inlineStr">
        <is>
          <t>Not started</t>
        </is>
      </c>
    </row>
    <row r="256">
      <c r="A256" s="3" t="inlineStr">
        <is>
          <t>E2E scenarios (E2E)</t>
        </is>
      </c>
      <c r="B256" s="3" t="inlineStr">
        <is>
          <t>E2E-R4-07</t>
        </is>
      </c>
      <c r="C256" s="3" t="inlineStr">
        <is>
          <t>External signer via magic link + email OTP; link single-use | FR-DS02, FR-P08</t>
        </is>
      </c>
      <c r="D256" s="3" t="inlineStr">
        <is>
          <t>23-E2E-TEST-PLAN.md</t>
        </is>
      </c>
      <c r="E256" s="3" t="inlineStr">
        <is>
          <t>Not started</t>
        </is>
      </c>
    </row>
    <row r="257">
      <c r="A257" s="3" t="inlineStr">
        <is>
          <t>E2E scenarios (E2E)</t>
        </is>
      </c>
      <c r="B257" s="3" t="inlineStr">
        <is>
          <t>E2E-R4-08</t>
        </is>
      </c>
      <c r="C257" s="3" t="inlineStr">
        <is>
          <t>Envelope correction (change recipient email) audited; DOCX + merge fields; anchor tags place fields | FX-S03/S09</t>
        </is>
      </c>
      <c r="D257" s="3" t="inlineStr">
        <is>
          <t>23-E2E-TEST-PLAN.md</t>
        </is>
      </c>
      <c r="E257" s="3" t="inlineStr">
        <is>
          <t>Not started</t>
        </is>
      </c>
    </row>
    <row r="258">
      <c r="A258" s="3" t="inlineStr">
        <is>
          <t>E2E scenarios (E2E)</t>
        </is>
      </c>
      <c r="B258" s="3" t="inlineStr">
        <is>
          <t>E2E-R4-09</t>
        </is>
      </c>
      <c r="C258" s="3" t="inlineStr">
        <is>
          <t>Public form with CAPTCHA + rate limit; save &amp; resume | FX-F05/F06</t>
        </is>
      </c>
      <c r="D258" s="3" t="inlineStr">
        <is>
          <t>23-E2E-TEST-PLAN.md</t>
        </is>
      </c>
      <c r="E258" s="3" t="inlineStr">
        <is>
          <t>Not started</t>
        </is>
      </c>
    </row>
    <row r="259">
      <c r="A259" s="3" t="inlineStr">
        <is>
          <t>E2E scenarios (E2E)</t>
        </is>
      </c>
      <c r="B259" s="3" t="inlineStr">
        <is>
          <t>E2E-R4-10</t>
        </is>
      </c>
      <c r="C259" s="3" t="inlineStr">
        <is>
          <t>Config export from sandbox → import into prod workspace shows diff; secrets absent | FR-W12, FR-P09</t>
        </is>
      </c>
      <c r="D259" s="3" t="inlineStr">
        <is>
          <t>23-E2E-TEST-PLAN.md</t>
        </is>
      </c>
      <c r="E259" s="3" t="inlineStr">
        <is>
          <t>Not started</t>
        </is>
      </c>
    </row>
    <row r="260">
      <c r="A260" s="3" t="inlineStr">
        <is>
          <t>E2E scenarios (E2E)</t>
        </is>
      </c>
      <c r="B260" s="3" t="inlineStr">
        <is>
          <t>E2E-R4-11</t>
        </is>
      </c>
      <c r="C260" s="3" t="inlineStr">
        <is>
          <t>API token scoped to `request:start` cannot read audit | 12 §5</t>
        </is>
      </c>
      <c r="D260" s="3" t="inlineStr">
        <is>
          <t>23-E2E-TEST-PLAN.md</t>
        </is>
      </c>
      <c r="E260" s="3" t="inlineStr">
        <is>
          <t>Not started</t>
        </is>
      </c>
    </row>
    <row r="261">
      <c r="A261" s="3" t="inlineStr">
        <is>
          <t>E2E scenarios (E2E)</t>
        </is>
      </c>
      <c r="B261" s="3" t="inlineStr">
        <is>
          <t>E2E-R4-ISO</t>
        </is>
      </c>
      <c r="C261" s="3" t="inlineStr">
        <is>
          <t>Isolation sweep incl. tokens, webhooks, connectors | SEC-</t>
        </is>
      </c>
      <c r="D261" s="3" t="inlineStr">
        <is>
          <t>23-E2E-TEST-PLAN.md</t>
        </is>
      </c>
      <c r="E261" s="3" t="inlineStr">
        <is>
          <t>Not started</t>
        </is>
      </c>
    </row>
    <row r="262">
      <c r="A262" s="3" t="inlineStr">
        <is>
          <t>E2E scenarios (E2E)</t>
        </is>
      </c>
      <c r="B262" s="3" t="inlineStr">
        <is>
          <t>E2E-R5-01</t>
        </is>
      </c>
      <c r="C262" s="3" t="inlineStr">
        <is>
          <t>Incident case (J4): intake → evidence → ad hoc tasks → closure blocked until checklist done → audit export | J4, FR-C01/C02</t>
        </is>
      </c>
      <c r="D262" s="3" t="inlineStr">
        <is>
          <t>23-E2E-TEST-PLAN.md</t>
        </is>
      </c>
      <c r="E262" s="3" t="inlineStr">
        <is>
          <t>Not started</t>
        </is>
      </c>
    </row>
    <row r="263">
      <c r="A263" s="3" t="inlineStr">
        <is>
          <t>E2E scenarios (E2E)</t>
        </is>
      </c>
      <c r="B263" s="3" t="inlineStr">
        <is>
          <t>E2E-R5-02</t>
        </is>
      </c>
      <c r="C263" s="3" t="inlineStr">
        <is>
          <t>Restricted HR case invisible in global search, reports, dashboards, notifications; admin self-grant is audited and visible to case team | FX-K06, OQ-12</t>
        </is>
      </c>
      <c r="D263" s="3" t="inlineStr">
        <is>
          <t>23-E2E-TEST-PLAN.md</t>
        </is>
      </c>
      <c r="E263" s="3" t="inlineStr">
        <is>
          <t>Not started</t>
        </is>
      </c>
    </row>
    <row r="264">
      <c r="A264" s="3" t="inlineStr">
        <is>
          <t>E2E scenarios (E2E)</t>
        </is>
      </c>
      <c r="B264" s="3" t="inlineStr">
        <is>
          <t>E2E-R5-03</t>
        </is>
      </c>
      <c r="C264" s="3" t="inlineStr">
        <is>
          <t>Investigation (J10): filter `data_access` on `salary` → pin events/files → legal hold → signed export → `procera-verify` offline passes; edited bundle fails | J10, FR-T05/T06, AUD-05</t>
        </is>
      </c>
      <c r="D264" s="3" t="inlineStr">
        <is>
          <t>23-E2E-TEST-PLAN.md</t>
        </is>
      </c>
      <c r="E264" s="3" t="inlineStr">
        <is>
          <t>Not started</t>
        </is>
      </c>
    </row>
    <row r="265">
      <c r="A265" s="3" t="inlineStr">
        <is>
          <t>E2E scenarios (E2E)</t>
        </is>
      </c>
      <c r="B265" s="3" t="inlineStr">
        <is>
          <t>E2E-R5-04</t>
        </is>
      </c>
      <c r="C265" s="3" t="inlineStr">
        <is>
          <t>Legal hold blocks retention purge and file deletion; release by authorised role resumes | PRV-03</t>
        </is>
      </c>
      <c r="D265" s="3" t="inlineStr">
        <is>
          <t>23-E2E-TEST-PLAN.md</t>
        </is>
      </c>
      <c r="E265" s="3" t="inlineStr">
        <is>
          <t>Not started</t>
        </is>
      </c>
    </row>
    <row r="266">
      <c r="A266" s="3" t="inlineStr">
        <is>
          <t>E2E scenarios (E2E)</t>
        </is>
      </c>
      <c r="B266" s="3" t="inlineStr">
        <is>
          <t>E2E-R5-05</t>
        </is>
      </c>
      <c r="C266" s="3" t="inlineStr">
        <is>
          <t>Part 11 mode: approval requires re-auth; manifestation shows name/time/meaning; signature bound to record hash | ESIG-01–05</t>
        </is>
      </c>
      <c r="D266" s="3" t="inlineStr">
        <is>
          <t>23-E2E-TEST-PLAN.md</t>
        </is>
      </c>
      <c r="E266" s="3" t="inlineStr">
        <is>
          <t>Not started</t>
        </is>
      </c>
    </row>
    <row r="267">
      <c r="A267" s="3" t="inlineStr">
        <is>
          <t>E2E scenarios (E2E)</t>
        </is>
      </c>
      <c r="B267" s="3" t="inlineStr">
        <is>
          <t>E2E-R5-06</t>
        </is>
      </c>
      <c r="C267" s="3" t="inlineStr">
        <is>
          <t>Attestation campaign + access review; unconfirmed grants expire | FR-G06, FR-W11</t>
        </is>
      </c>
      <c r="D267" s="3" t="inlineStr">
        <is>
          <t>23-E2E-TEST-PLAN.md</t>
        </is>
      </c>
      <c r="E267" s="3" t="inlineStr">
        <is>
          <t>Not started</t>
        </is>
      </c>
    </row>
    <row r="268">
      <c r="A268" s="3" t="inlineStr">
        <is>
          <t>E2E scenarios (E2E)</t>
        </is>
      </c>
      <c r="B268" s="3" t="inlineStr">
        <is>
          <t>E2E-R5-07</t>
        </is>
      </c>
      <c r="C268" s="3" t="inlineStr">
        <is>
          <t>Break-glass: system admin request → workspace approval → read-only session banner → auto-expiry → visible in workspace audit | FR-S07</t>
        </is>
      </c>
      <c r="D268" s="3" t="inlineStr">
        <is>
          <t>23-E2E-TEST-PLAN.md</t>
        </is>
      </c>
      <c r="E268" s="3" t="inlineStr">
        <is>
          <t>Not started</t>
        </is>
      </c>
    </row>
    <row r="269">
      <c r="A269" s="3" t="inlineStr">
        <is>
          <t>E2E scenarios (E2E)</t>
        </is>
      </c>
      <c r="B269" s="3" t="inlineStr">
        <is>
          <t>E2E-R5-08</t>
        </is>
      </c>
      <c r="C269" s="3" t="inlineStr">
        <is>
          <t>Separation mode on → workspace admin loses content access → audited self-grant flow | 12 §6.1</t>
        </is>
      </c>
      <c r="D269" s="3" t="inlineStr">
        <is>
          <t>23-E2E-TEST-PLAN.md</t>
        </is>
      </c>
      <c r="E269" s="3" t="inlineStr">
        <is>
          <t>Not started</t>
        </is>
      </c>
    </row>
    <row r="270">
      <c r="A270" s="3" t="inlineStr">
        <is>
          <t>E2E scenarios (E2E)</t>
        </is>
      </c>
      <c r="B270" s="3" t="inlineStr">
        <is>
          <t>E2E-R5-09</t>
        </is>
      </c>
      <c r="C270" s="3" t="inlineStr">
        <is>
          <t>Scheduled report re-applies permissions at run time (user lost access → no data sent) | FX-A02</t>
        </is>
      </c>
      <c r="D270" s="3" t="inlineStr">
        <is>
          <t>23-E2E-TEST-PLAN.md</t>
        </is>
      </c>
      <c r="E270" s="3" t="inlineStr">
        <is>
          <t>Not started</t>
        </is>
      </c>
    </row>
    <row r="271">
      <c r="A271" s="3" t="inlineStr">
        <is>
          <t>E2E scenarios (E2E)</t>
        </is>
      </c>
      <c r="B271" s="3" t="inlineStr">
        <is>
          <t>E2E-R5-10</t>
        </is>
      </c>
      <c r="C271" s="3" t="inlineStr">
        <is>
          <t>AI drafting (when enabled): output is a draft, labelled, provenance in audit; cannot publish or approve | ADR-0006</t>
        </is>
      </c>
      <c r="D271" s="3" t="inlineStr">
        <is>
          <t>23-E2E-TEST-PLAN.md</t>
        </is>
      </c>
      <c r="E271" s="3" t="inlineStr">
        <is>
          <t>Not started</t>
        </is>
      </c>
    </row>
    <row r="272">
      <c r="A272" s="3" t="inlineStr">
        <is>
          <t>E2E scenarios (E2E)</t>
        </is>
      </c>
      <c r="B272" s="3" t="inlineStr">
        <is>
          <t>E2E-R5-ISO</t>
        </is>
      </c>
      <c r="C272" s="3" t="inlineStr">
        <is>
          <t>Isolation sweep incl. cases, investigations, evidence | SEC-</t>
        </is>
      </c>
      <c r="D272" s="3" t="inlineStr">
        <is>
          <t>23-E2E-TEST-PLAN.md</t>
        </is>
      </c>
      <c r="E272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10" customWidth="1" min="3" max="3"/>
    <col width="10" customWidth="1" min="4" max="4"/>
    <col width="60" customWidth="1" min="5" max="5"/>
    <col width="14" customWidth="1" min="6" max="6"/>
    <col width="8" customWidth="1" min="7" max="7"/>
  </cols>
  <sheetData>
    <row r="1">
      <c r="A1" s="2" t="inlineStr">
        <is>
          <t>ID</t>
        </is>
      </c>
      <c r="B1" s="2" t="inlineStr">
        <is>
          <t>Risk</t>
        </is>
      </c>
      <c r="C1" s="2" t="inlineStr">
        <is>
          <t>Severity</t>
        </is>
      </c>
      <c r="D1" s="2" t="inlineStr">
        <is>
          <t>Likelihood</t>
        </is>
      </c>
      <c r="E1" s="2" t="inlineStr">
        <is>
          <t>Mitigation</t>
        </is>
      </c>
      <c r="F1" s="2" t="inlineStr">
        <is>
          <t>Owner</t>
        </is>
      </c>
      <c r="G1" s="2" t="inlineStr">
        <is>
          <t>Trend</t>
        </is>
      </c>
    </row>
    <row r="2">
      <c r="A2" s="3" t="inlineStr">
        <is>
          <t>R1</t>
        </is>
      </c>
      <c r="B2" s="3" t="inlineStr">
        <is>
          <t>Execution correctness</t>
        </is>
      </c>
      <c r="C2" s="3" t="inlineStr">
        <is>
          <t>Critical</t>
        </is>
      </c>
      <c r="D2" s="3" t="inlineStr">
        <is>
          <t>High</t>
        </is>
      </c>
      <c r="E2" s="3" t="inlineStr">
        <is>
          <t>IR spec, conformance, property/model tests, chaos</t>
        </is>
      </c>
      <c r="F2" s="3" t="inlineStr">
        <is>
          <t>Runtime lead</t>
        </is>
      </c>
      <c r="G2" s="3" t="inlineStr">
        <is>
          <t>—</t>
        </is>
      </c>
    </row>
    <row r="3">
      <c r="A3" s="3" t="inlineStr">
        <is>
          <t>R2</t>
        </is>
      </c>
      <c r="B3" s="3" t="inlineStr">
        <is>
          <t>Scope creep (BPMN/features)</t>
        </is>
      </c>
      <c r="C3" s="3" t="inlineStr">
        <is>
          <t>High</t>
        </is>
      </c>
      <c r="D3" s="3" t="inlineStr">
        <is>
          <t>High</t>
        </is>
      </c>
      <c r="E3" s="3" t="inlineStr">
        <is>
          <t>Non-goals, catalogue change process, scope-cut list</t>
        </is>
      </c>
      <c r="F3" s="3" t="inlineStr">
        <is>
          <t>Product</t>
        </is>
      </c>
      <c r="G3" s="3" t="inlineStr">
        <is>
          <t>—</t>
        </is>
      </c>
    </row>
    <row r="4">
      <c r="A4" s="3" t="inlineStr">
        <is>
          <t>R3</t>
        </is>
      </c>
      <c r="B4" s="3" t="inlineStr">
        <is>
          <t>Cross-workspace data leak</t>
        </is>
      </c>
      <c r="C4" s="3" t="inlineStr">
        <is>
          <t>Critical</t>
        </is>
      </c>
      <c r="D4" s="3" t="inlineStr">
        <is>
          <t>Medium</t>
        </is>
      </c>
      <c r="E4" s="3" t="inlineStr">
        <is>
          <t>Layered isolation, CI sweep, pentest</t>
        </is>
      </c>
      <c r="F4" s="3" t="inlineStr">
        <is>
          <t>Security</t>
        </is>
      </c>
      <c r="G4" s="3" t="inlineStr">
        <is>
          <t>—</t>
        </is>
      </c>
    </row>
    <row r="5">
      <c r="A5" s="3" t="inlineStr">
        <is>
          <t>R4</t>
        </is>
      </c>
      <c r="B5" s="3" t="inlineStr">
        <is>
          <t>Adoption / UX quality</t>
        </is>
      </c>
      <c r="C5" s="3" t="inlineStr">
        <is>
          <t>High</t>
        </is>
      </c>
      <c r="D5" s="3" t="inlineStr">
        <is>
          <t>Medium</t>
        </is>
      </c>
      <c r="E5" s="3" t="inlineStr">
        <is>
          <t>Templates, Starter profile, usability per milestone, SUS gate</t>
        </is>
      </c>
      <c r="F5" s="3" t="inlineStr">
        <is>
          <t>Design</t>
        </is>
      </c>
      <c r="G5" s="3" t="inlineStr">
        <is>
          <t>—</t>
        </is>
      </c>
    </row>
    <row r="6">
      <c r="A6" s="3" t="inlineStr">
        <is>
          <t>R5</t>
        </is>
      </c>
      <c r="B6" s="3" t="inlineStr">
        <is>
          <t>Wrong runtime choice</t>
        </is>
      </c>
      <c r="C6" s="3" t="inlineStr">
        <is>
          <t>High</t>
        </is>
      </c>
      <c r="D6" s="3" t="inlineStr">
        <is>
          <t>Medium</t>
        </is>
      </c>
      <c r="E6" s="3" t="inlineStr">
        <is>
          <t>Spikes before G1, adapter seam</t>
        </is>
      </c>
      <c r="F6" s="3" t="inlineStr">
        <is>
          <t>Architect</t>
        </is>
      </c>
      <c r="G6" s="3" t="inlineStr">
        <is>
          <t>—</t>
        </is>
      </c>
    </row>
    <row r="7">
      <c r="A7" s="3" t="inlineStr">
        <is>
          <t>R6</t>
        </is>
      </c>
      <c r="B7" s="3" t="inlineStr">
        <is>
          <t>Licence contamination</t>
        </is>
      </c>
      <c r="C7" s="3" t="inlineStr">
        <is>
          <t>High</t>
        </is>
      </c>
      <c r="D7" s="3" t="inlineStr">
        <is>
          <t>Medium</t>
        </is>
      </c>
      <c r="E7" s="3" t="inlineStr">
        <is>
          <t>CI licence gate, SP-07 quarterly</t>
        </is>
      </c>
      <c r="F7" s="3" t="inlineStr">
        <is>
          <t>Tech lead</t>
        </is>
      </c>
      <c r="G7" s="3" t="inlineStr">
        <is>
          <t>—</t>
        </is>
      </c>
    </row>
    <row r="8">
      <c r="A8" s="3" t="inlineStr">
        <is>
          <t>R7</t>
        </is>
      </c>
      <c r="B8" s="3" t="inlineStr">
        <is>
          <t>Instance migration demand</t>
        </is>
      </c>
      <c r="C8" s="3" t="inlineStr">
        <is>
          <t>High</t>
        </is>
      </c>
      <c r="D8" s="3" t="inlineStr">
        <is>
          <t>High</t>
        </is>
      </c>
      <c r="E8" s="3" t="inlineStr">
        <is>
          <t>Pinning; cancel-and-restart; P2 tool</t>
        </is>
      </c>
      <c r="F8" s="3" t="inlineStr">
        <is>
          <t>Runtime</t>
        </is>
      </c>
      <c r="G8" s="3" t="inlineStr">
        <is>
          <t>—</t>
        </is>
      </c>
    </row>
    <row r="9">
      <c r="A9" s="3" t="inlineStr">
        <is>
          <t>R8</t>
        </is>
      </c>
      <c r="B9" s="3" t="inlineStr">
        <is>
          <t>Duplicate external side effects</t>
        </is>
      </c>
      <c r="C9" s="3" t="inlineStr">
        <is>
          <t>High</t>
        </is>
      </c>
      <c r="D9" s="3" t="inlineStr">
        <is>
          <t>High</t>
        </is>
      </c>
      <c r="E9" s="3" t="inlineStr">
        <is>
          <t>Outbox, idempotency keys</t>
        </is>
      </c>
      <c r="F9" s="3" t="inlineStr">
        <is>
          <t>Backend</t>
        </is>
      </c>
      <c r="G9" s="3" t="inlineStr">
        <is>
          <t>—</t>
        </is>
      </c>
    </row>
    <row r="10">
      <c r="A10" s="3" t="inlineStr">
        <is>
          <t>R9</t>
        </is>
      </c>
      <c r="B10" s="3" t="inlineStr">
        <is>
          <t>Analytics inaccuracy</t>
        </is>
      </c>
      <c r="C10" s="3" t="inlineStr">
        <is>
          <t>Medium</t>
        </is>
      </c>
      <c r="D10" s="3" t="inlineStr">
        <is>
          <t>Medium</t>
        </is>
      </c>
      <c r="E10" s="3" t="inlineStr">
        <is>
          <t>Event semantics, reconciliation tests</t>
        </is>
      </c>
      <c r="F10" s="3" t="inlineStr">
        <is>
          <t>Data</t>
        </is>
      </c>
      <c r="G10" s="3" t="inlineStr">
        <is>
          <t>—</t>
        </is>
      </c>
    </row>
    <row r="11">
      <c r="A11" s="3" t="inlineStr">
        <is>
          <t>R10</t>
        </is>
      </c>
      <c r="B11" s="3" t="inlineStr">
        <is>
          <t>Staffing below plan</t>
        </is>
      </c>
      <c r="C11" s="3" t="inlineStr">
        <is>
          <t>High</t>
        </is>
      </c>
      <c r="D11" s="3" t="inlineStr">
        <is>
          <t>Medium</t>
        </is>
      </c>
      <c r="E11" s="3" t="inlineStr">
        <is>
          <t>Option B timeline; scope cuts</t>
        </is>
      </c>
      <c r="F11" s="3" t="inlineStr">
        <is>
          <t>Product</t>
        </is>
      </c>
      <c r="G11" s="3" t="inlineStr">
        <is>
          <t>—</t>
        </is>
      </c>
    </row>
    <row r="12">
      <c r="A12" s="3" t="inlineStr">
        <is>
          <t>R11</t>
        </is>
      </c>
      <c r="B12" s="3" t="inlineStr">
        <is>
          <t>E-sign legal validity per jurisdiction</t>
        </is>
      </c>
      <c r="C12" s="3" t="inlineStr">
        <is>
          <t>Medium</t>
        </is>
      </c>
      <c r="D12" s="3" t="inlineStr">
        <is>
          <t>Medium</t>
        </is>
      </c>
      <c r="E12" s="3" t="inlineStr">
        <is>
          <t>Legal posture doc, certificate, QES/Aadhaar providers P2</t>
        </is>
      </c>
      <c r="F12" s="3" t="inlineStr">
        <is>
          <t>Legal</t>
        </is>
      </c>
      <c r="G12" s="3" t="inlineStr">
        <is>
          <t>—</t>
        </is>
      </c>
    </row>
    <row r="13">
      <c r="A13" s="3" t="inlineStr">
        <is>
          <t>R12</t>
        </is>
      </c>
      <c r="B13" s="3" t="inlineStr">
        <is>
          <t>Admin visibility vs confidential cases</t>
        </is>
      </c>
      <c r="C13" s="3" t="inlineStr">
        <is>
          <t>Medium</t>
        </is>
      </c>
      <c r="D13" s="3" t="inlineStr">
        <is>
          <t>Medium</t>
        </is>
      </c>
      <c r="E13" s="3" t="inlineStr">
        <is>
          <t>Restricted cases + Separation mode (OQ-12)</t>
        </is>
      </c>
      <c r="F13" s="3" t="inlineStr">
        <is>
          <t>Product</t>
        </is>
      </c>
      <c r="G13" s="3" t="inlineStr">
        <is>
          <t>—</t>
        </is>
      </c>
    </row>
    <row r="14">
      <c r="A14" s="3" t="inlineStr">
        <is>
          <t>R13</t>
        </is>
      </c>
      <c r="B14" s="3" t="inlineStr">
        <is>
          <t>Scanner/converter/object store availability</t>
        </is>
      </c>
      <c r="C14" s="3" t="inlineStr">
        <is>
          <t>Medium</t>
        </is>
      </c>
      <c r="D14" s="3" t="inlineStr">
        <is>
          <t>Low</t>
        </is>
      </c>
      <c r="E14" s="3" t="inlineStr">
        <is>
          <t>Fail-closed + degraded modes</t>
        </is>
      </c>
      <c r="F14" s="3" t="inlineStr">
        <is>
          <t>SRE</t>
        </is>
      </c>
      <c r="G14" s="3" t="inlineStr">
        <is>
          <t>—</t>
        </is>
      </c>
    </row>
    <row r="15">
      <c r="A15" s="3" t="inlineStr">
        <is>
          <t>R14</t>
        </is>
      </c>
      <c r="B15" s="3" t="inlineStr">
        <is>
          <t>Email deliverability for self-hosters</t>
        </is>
      </c>
      <c r="C15" s="3" t="inlineStr">
        <is>
          <t>Medium</t>
        </is>
      </c>
      <c r="D15" s="3" t="inlineStr">
        <is>
          <t>Medium</t>
        </is>
      </c>
      <c r="E15" s="3" t="inlineStr">
        <is>
          <t>Guides, bounce handling, in-app fallback</t>
        </is>
      </c>
      <c r="F15" s="3" t="inlineStr">
        <is>
          <t>Backend</t>
        </is>
      </c>
      <c r="G15" s="3" t="inlineStr">
        <is>
          <t>—</t>
        </is>
      </c>
    </row>
    <row r="16">
      <c r="A16" s="3" t="inlineStr">
        <is>
          <t>R15</t>
        </is>
      </c>
      <c r="B16" s="3" t="inlineStr">
        <is>
          <t>Accessibility regressions in designer/canvas</t>
        </is>
      </c>
      <c r="C16" s="3" t="inlineStr">
        <is>
          <t>Medium</t>
        </is>
      </c>
      <c r="D16" s="3" t="inlineStr">
        <is>
          <t>Medium</t>
        </is>
      </c>
      <c r="E16" s="3" t="inlineStr">
        <is>
          <t>Keyboard alternative, axe in CI, audits</t>
        </is>
      </c>
      <c r="F16" s="3" t="inlineStr">
        <is>
          <t>Design</t>
        </is>
      </c>
      <c r="G16" s="3" t="inlineStr">
        <is>
          <t>—</t>
        </is>
      </c>
    </row>
    <row r="17">
      <c r="A17" s="3" t="inlineStr">
        <is>
          <t>R16</t>
        </is>
      </c>
      <c r="B17" s="3" t="inlineStr">
        <is>
          <t>AI-generated code quality / subtle bugs</t>
        </is>
      </c>
      <c r="C17" s="3" t="inlineStr">
        <is>
          <t>High</t>
        </is>
      </c>
      <c r="D17" s="3" t="inlineStr">
        <is>
          <t>Medium</t>
        </is>
      </c>
      <c r="E17" s="3" t="inlineStr">
        <is>
          <t>Spec-first tasks, small PRs, CI gates, 2-human review on protected areas, E2E per feature</t>
        </is>
      </c>
      <c r="F17" s="3" t="inlineStr">
        <is>
          <t>Tech lead</t>
        </is>
      </c>
      <c r="G17" s="3" t="inlineStr">
        <is>
          <t>—</t>
        </is>
      </c>
    </row>
    <row r="18">
      <c r="A18" s="3" t="inlineStr">
        <is>
          <t>R17</t>
        </is>
      </c>
      <c r="B18" s="3" t="inlineStr">
        <is>
          <t>E2E flakiness slows releases</t>
        </is>
      </c>
      <c r="C18" s="3" t="inlineStr">
        <is>
          <t>Medium</t>
        </is>
      </c>
      <c r="D18" s="3" t="inlineStr">
        <is>
          <t>Medium</t>
        </is>
      </c>
      <c r="E18" s="3" t="inlineStr">
        <is>
          <t>Test clock + drain, seeded data, 1 retry max, quarantine lane, flake budget</t>
        </is>
      </c>
      <c r="F18" s="3" t="inlineStr">
        <is>
          <t>SDET</t>
        </is>
      </c>
      <c r="G18" s="3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36" customWidth="1" min="3" max="3"/>
    <col width="50" customWidth="1" min="4" max="4"/>
  </cols>
  <sheetData>
    <row r="1">
      <c r="A1" s="2" t="inlineStr">
        <is>
          <t>ADR</t>
        </is>
      </c>
      <c r="B1" s="2" t="inlineStr">
        <is>
          <t>Decision</t>
        </is>
      </c>
      <c r="C1" s="2" t="inlineStr">
        <is>
          <t>Status</t>
        </is>
      </c>
      <c r="D1" s="2" t="inlineStr">
        <is>
          <t>File</t>
        </is>
      </c>
    </row>
    <row r="2">
      <c r="A2" s="3" t="inlineStr">
        <is>
          <t>ADR-0001</t>
        </is>
      </c>
      <c r="B2" s="3" t="inlineStr">
        <is>
          <t>Separate governance/catalog from execution</t>
        </is>
      </c>
      <c r="C2" s="3" t="inlineStr">
        <is>
          <t>Accepted (pending G1)</t>
        </is>
      </c>
      <c r="D2" s="3" t="inlineStr">
        <is>
          <t>ADR-0001-governance-execution-separation.md</t>
        </is>
      </c>
    </row>
    <row r="3">
      <c r="A3" s="3" t="inlineStr">
        <is>
          <t>ADR-0002</t>
        </is>
      </c>
      <c r="B3" s="3" t="inlineStr">
        <is>
          <t>PostgreSQL 16+ is the only system of record (not MariaDB/MySQL)</t>
        </is>
      </c>
      <c r="C3" s="3" t="inlineStr">
        <is>
          <t>Accepted</t>
        </is>
      </c>
      <c r="D3" s="3" t="inlineStr">
        <is>
          <t>ADR-0002-postgres-system-of-record.md</t>
        </is>
      </c>
    </row>
    <row r="4">
      <c r="A4" s="3" t="inlineStr">
        <is>
          <t>ADR-0003</t>
        </is>
      </c>
      <c r="B4" s="3" t="inlineStr">
        <is>
          <t>Canonical, versioned workflow IR</t>
        </is>
      </c>
      <c r="C4" s="3" t="inlineStr">
        <is>
          <t>Accepted</t>
        </is>
      </c>
      <c r="D4" s="3" t="inlineStr">
        <is>
          <t>ADR-0003-versioned-ir.md</t>
        </is>
      </c>
    </row>
    <row r="5">
      <c r="A5" s="3" t="inlineStr">
        <is>
          <t>ADR-0004</t>
        </is>
      </c>
      <c r="B5" s="3" t="inlineStr">
        <is>
          <t>Step builder is the default authoring UX; BPMN is optional</t>
        </is>
      </c>
      <c r="C5" s="3" t="inlineStr">
        <is>
          <t>Accepted</t>
        </is>
      </c>
      <c r="D5" s="3" t="inlineStr">
        <is>
          <t>ADR-0004-step-builder-first.md</t>
        </is>
      </c>
    </row>
    <row r="6">
      <c r="A6" s="3" t="inlineStr">
        <is>
          <t>ADR-0005</t>
        </is>
      </c>
      <c r="B6" s="3" t="inlineStr">
        <is>
          <t>Transactional outbox/inbox and idempotency keys</t>
        </is>
      </c>
      <c r="C6" s="3" t="inlineStr">
        <is>
          <t>Accepted</t>
        </is>
      </c>
      <c r="D6" s="3" t="inlineStr">
        <is>
          <t>ADR-0005-outbox-idempotency.md</t>
        </is>
      </c>
    </row>
    <row r="7">
      <c r="A7" s="3" t="inlineStr">
        <is>
          <t>ADR-0006</t>
        </is>
      </c>
      <c r="B7" s="3" t="inlineStr">
        <is>
          <t>AI outputs are drafts behind a human gate</t>
        </is>
      </c>
      <c r="C7" s="3" t="inlineStr">
        <is>
          <t>Accepted</t>
        </is>
      </c>
      <c r="D7" s="3" t="inlineStr">
        <is>
          <t>ADR-0006-ai-human-gate.md</t>
        </is>
      </c>
    </row>
    <row r="8">
      <c r="A8" s="3" t="inlineStr">
        <is>
          <t>ADR-0007</t>
        </is>
      </c>
      <c r="B8" s="3" t="inlineStr">
        <is>
          <t>Modular monolith with separate worker/scheduler processes</t>
        </is>
      </c>
      <c r="C8" s="3" t="inlineStr">
        <is>
          <t>Accepted</t>
        </is>
      </c>
      <c r="D8" s="3" t="inlineStr">
        <is>
          <t>ADR-0007-modular-monolith.md</t>
        </is>
      </c>
    </row>
    <row r="9">
      <c r="A9" s="3" t="inlineStr">
        <is>
          <t>ADR-0008</t>
        </is>
      </c>
      <c r="B9" s="3" t="inlineStr">
        <is>
          <t>Workspace is the tenant; layered isolation</t>
        </is>
      </c>
      <c r="C9" s="3" t="inlineStr">
        <is>
          <t>Accepted (revised per product direction 2026-10-11)</t>
        </is>
      </c>
      <c r="D9" s="3" t="inlineStr">
        <is>
          <t>ADR-0008-workspace-tenancy.md</t>
        </is>
      </c>
    </row>
    <row r="10">
      <c r="A10" s="3" t="inlineStr">
        <is>
          <t>ADR-0009</t>
        </is>
      </c>
      <c r="B10" s="3" t="inlineStr">
        <is>
          <t>Message broker is optional</t>
        </is>
      </c>
      <c r="C10" s="3" t="inlineStr">
        <is>
          <t>Accepted</t>
        </is>
      </c>
      <c r="D10" s="3" t="inlineStr">
        <is>
          <t>ADR-0009-broker-optional.md</t>
        </is>
      </c>
    </row>
    <row r="11">
      <c r="A11" s="3" t="inlineStr">
        <is>
          <t>ADR-0010</t>
        </is>
      </c>
      <c r="B11" s="3" t="inlineStr">
        <is>
          <t>Typed, total expression language</t>
        </is>
      </c>
      <c r="C11" s="3" t="inlineStr">
        <is>
          <t>Recommended: CEL with Procera extensions (SP-08, 2026-10-11); final acceptance at G1</t>
        </is>
      </c>
      <c r="D11" s="3" t="inlineStr">
        <is>
          <t>ADR-0010-expression-language.md</t>
        </is>
      </c>
    </row>
    <row r="12">
      <c r="A12" s="3" t="inlineStr">
        <is>
          <t>ADR-0011</t>
        </is>
      </c>
      <c r="B12" s="3" t="inlineStr">
        <is>
          <t>Cedar embedded for authorization</t>
        </is>
      </c>
      <c r="C12" s="3" t="inlineStr">
        <is>
          <t>Validated by SP-09 (2026-10-11); acceptance at G1</t>
        </is>
      </c>
      <c r="D12" s="3" t="inlineStr">
        <is>
          <t>ADR-0011-authorization-engine.md</t>
        </is>
      </c>
    </row>
    <row r="13">
      <c r="A13" s="3" t="inlineStr">
        <is>
          <t>ADR-0012</t>
        </is>
      </c>
      <c r="B13" s="3" t="inlineStr">
        <is>
          <t>Release bundle pins every dependency of a definition</t>
        </is>
      </c>
      <c r="C13" s="3" t="inlineStr">
        <is>
          <t>Accepted</t>
        </is>
      </c>
      <c r="D13" s="3" t="inlineStr">
        <is>
          <t>ADR-0012-release-bundle.md</t>
        </is>
      </c>
    </row>
    <row r="14">
      <c r="A14" s="3" t="inlineStr">
        <is>
          <t>ADR-0013</t>
        </is>
      </c>
      <c r="B14" s="3" t="inlineStr">
        <is>
          <t>Structured block model for SOP/policy content</t>
        </is>
      </c>
      <c r="C14" s="3" t="inlineStr">
        <is>
          <t>Accepted</t>
        </is>
      </c>
      <c r="D14" s="3" t="inlineStr">
        <is>
          <t>ADR-0013-sop-content-model.md</t>
        </is>
      </c>
    </row>
    <row r="15">
      <c r="A15" s="3" t="inlineStr">
        <is>
          <t>ADR-0014</t>
        </is>
      </c>
      <c r="B15" s="3" t="inlineStr">
        <is>
          <t>Apache-2.0, DCO, permissive-only dependencies</t>
        </is>
      </c>
      <c r="C15" s="3" t="inlineStr">
        <is>
          <t>Proposed (OQ-06)</t>
        </is>
      </c>
      <c r="D15" s="3" t="inlineStr">
        <is>
          <t>ADR-0014-licensing-and-contribution.md</t>
        </is>
      </c>
    </row>
    <row r="16">
      <c r="A16" s="3" t="inlineStr">
        <is>
          <t>ADR-0015</t>
        </is>
      </c>
      <c r="B16" s="3" t="inlineStr">
        <is>
          <t>Runtime: native Rust interpreter primary</t>
        </is>
      </c>
      <c r="C16" s="3" t="inlineStr">
        <is>
          <t>Recommended: native interpreter (SP-01…06 all pass, 2026-10-11); final acceptance at G1</t>
        </is>
      </c>
      <c r="D16" s="3" t="inlineStr">
        <is>
          <t>ADR-0015-runtime-selection.md</t>
        </is>
      </c>
    </row>
    <row r="17">
      <c r="A17" s="3" t="inlineStr">
        <is>
          <t>ADR-0016</t>
        </is>
      </c>
      <c r="B17" s="3" t="inlineStr">
        <is>
          <t>Standalone first; integrations later via ports</t>
        </is>
      </c>
      <c r="C17" s="3" t="inlineStr">
        <is>
          <t>Accepted (product direction 2026-10-11)</t>
        </is>
      </c>
      <c r="D17" s="3" t="inlineStr">
        <is>
          <t>ADR-0016-standalone-first.md</t>
        </is>
      </c>
    </row>
    <row r="18">
      <c r="A18" s="3" t="inlineStr">
        <is>
          <t>ADR-0017</t>
        </is>
      </c>
      <c r="B18" s="3" t="inlineStr">
        <is>
          <t>One acknowledgement &amp; signature campaign engine</t>
        </is>
      </c>
      <c r="C18" s="3" t="inlineStr">
        <is>
          <t>Accepted</t>
        </is>
      </c>
      <c r="D18" s="3" t="inlineStr">
        <is>
          <t>ADR-0017-unified-campaign-engine.md</t>
        </is>
      </c>
    </row>
    <row r="19">
      <c r="A19" s="3" t="inlineStr">
        <is>
          <t>ADR-0018</t>
        </is>
      </c>
      <c r="B19" s="3" t="inlineStr">
        <is>
          <t>UI stack and canvas libraries</t>
        </is>
      </c>
      <c r="C19" s="3" t="inlineStr">
        <is>
          <t>Accepted</t>
        </is>
      </c>
      <c r="D19" s="3" t="inlineStr">
        <is>
          <t>ADR-0018-ui-stack-and-canvas.md</t>
        </is>
      </c>
    </row>
    <row r="20">
      <c r="A20" s="3" t="inlineStr">
        <is>
          <t>ADR-0019</t>
        </is>
      </c>
      <c r="B20" s="3" t="inlineStr">
        <is>
          <t>Redis-protocol cache (Valkey default) as a standard, non-authoritative component</t>
        </is>
      </c>
      <c r="C20" s="3" t="inlineStr">
        <is>
          <t>Accepted</t>
        </is>
      </c>
      <c r="D20" s="3" t="inlineStr">
        <is>
          <t>ADR-0019-valkey-redis-cache.md</t>
        </is>
      </c>
    </row>
    <row r="21">
      <c r="A21" s="3" t="inlineStr">
        <is>
          <t>ADR-0020</t>
        </is>
      </c>
      <c r="B21" s="3" t="inlineStr">
        <is>
          <t>JWT access tokens with rotating refresh tokens (no server-side sessions)</t>
        </is>
      </c>
      <c r="C21" s="3" t="inlineStr">
        <is>
          <t>Accepted</t>
        </is>
      </c>
      <c r="D21" s="3" t="inlineStr">
        <is>
          <t>ADR-0020-jwt-access-tokens.md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50" customWidth="1" min="3" max="3"/>
    <col width="50" customWidth="1" min="4" max="4"/>
    <col width="14" customWidth="1" min="5" max="5"/>
    <col width="2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Pass condition</t>
        </is>
      </c>
      <c r="E1" s="2" t="inlineStr">
        <is>
          <t>Phase/M</t>
        </is>
      </c>
      <c r="F1" s="2" t="inlineStr">
        <is>
          <t>Extra</t>
        </is>
      </c>
    </row>
    <row r="2">
      <c r="A2" s="3" t="inlineStr">
        <is>
          <t>06-SECURITY-AND-OPERATIONS.md</t>
        </is>
      </c>
      <c r="B2" s="3" t="inlineStr">
        <is>
          <t>SEC-01</t>
        </is>
      </c>
      <c r="C2" s="3" t="inlineStr">
        <is>
          <t>Cross-workspace process read</t>
        </is>
      </c>
      <c r="D2" s="3" t="inlineStr">
        <is>
          <t>404 + `authz.denied` audit</t>
        </is>
      </c>
      <c r="E2" s="3" t="inlineStr">
        <is>
          <t>P1 alpha</t>
        </is>
      </c>
      <c r="F2" s="3" t="inlineStr"/>
    </row>
    <row r="3">
      <c r="A3" s="3" t="inlineStr">
        <is>
          <t>06-SECURITY-AND-OPERATIONS.md</t>
        </is>
      </c>
      <c r="B3" s="3" t="inlineStr">
        <is>
          <t>SEC-02</t>
        </is>
      </c>
      <c r="C3" s="3" t="inlineStr">
        <is>
          <t>Cross-workspace task approve</t>
        </is>
      </c>
      <c r="D3" s="3" t="inlineStr">
        <is>
          <t>404; no state change</t>
        </is>
      </c>
      <c r="E3" s="3" t="inlineStr">
        <is>
          <t>Beta</t>
        </is>
      </c>
      <c r="F3" s="3" t="inlineStr"/>
    </row>
    <row r="4">
      <c r="A4" s="3" t="inlineStr">
        <is>
          <t>06-SECURITY-AND-OPERATIONS.md</t>
        </is>
      </c>
      <c r="B4" s="3" t="inlineStr">
        <is>
          <t>SEC-03</t>
        </is>
      </c>
      <c r="C4" s="3" t="inlineStr">
        <is>
          <t>Field-level redaction parity (API, export, search, notification, AI prompt)</t>
        </is>
      </c>
      <c r="D4" s="3" t="inlineStr">
        <is>
          <t>Identical redaction everywhere</t>
        </is>
      </c>
      <c r="E4" s="3" t="inlineStr">
        <is>
          <t>Beta</t>
        </is>
      </c>
      <c r="F4" s="3" t="inlineStr"/>
    </row>
    <row r="5">
      <c r="A5" s="3" t="inlineStr">
        <is>
          <t>06-SECURITY-AND-OPERATIONS.md</t>
        </is>
      </c>
      <c r="B5" s="3" t="inlineStr">
        <is>
          <t>SEC-04</t>
        </is>
      </c>
      <c r="C5" s="3" t="inlineStr">
        <is>
          <t>Revoked/deactivated identity cannot act</t>
        </is>
      </c>
      <c r="D5" s="3" t="inlineStr">
        <is>
          <t>Immediate 401/403; sessions/tokens dead</t>
        </is>
      </c>
      <c r="E5" s="3" t="inlineStr">
        <is>
          <t>Alpha</t>
        </is>
      </c>
      <c r="F5" s="3" t="inlineStr"/>
    </row>
    <row r="6">
      <c r="A6" s="3" t="inlineStr">
        <is>
          <t>06-SECURITY-AND-OPERATIONS.md</t>
        </is>
      </c>
      <c r="B6" s="3" t="inlineStr">
        <is>
          <t>SEC-05</t>
        </is>
      </c>
      <c r="C6" s="3" t="inlineStr">
        <is>
          <t>Webhook replay / bad signature / stale timestamp</t>
        </is>
      </c>
      <c r="D6" s="3" t="inlineStr">
        <is>
          <t>Rejected; no duplicate effect</t>
        </is>
      </c>
      <c r="E6" s="3" t="inlineStr">
        <is>
          <t>RC</t>
        </is>
      </c>
      <c r="F6" s="3" t="inlineStr"/>
    </row>
    <row r="7">
      <c r="A7" s="3" t="inlineStr">
        <is>
          <t>06-SECURITY-AND-OPERATIONS.md</t>
        </is>
      </c>
      <c r="B7" s="3" t="inlineStr">
        <is>
          <t>SEC-06</t>
        </is>
      </c>
      <c r="C7" s="3" t="inlineStr">
        <is>
          <t>Connector SSRF (private IPs, metadata)</t>
        </is>
      </c>
      <c r="D7" s="3" t="inlineStr">
        <is>
          <t>Blocked at egress proxy</t>
        </is>
      </c>
      <c r="E7" s="3" t="inlineStr">
        <is>
          <t>RC</t>
        </is>
      </c>
      <c r="F7" s="3" t="inlineStr"/>
    </row>
    <row r="8">
      <c r="A8" s="3" t="inlineStr">
        <is>
          <t>06-SECURITY-AND-OPERATIONS.md</t>
        </is>
      </c>
      <c r="B8" s="3" t="inlineStr">
        <is>
          <t>SEC-07</t>
        </is>
      </c>
      <c r="C8" s="3" t="inlineStr">
        <is>
          <t>Audit export scoped to workspace and permission</t>
        </is>
      </c>
      <c r="D8" s="3" t="inlineStr">
        <is>
          <t>No foreign rows</t>
        </is>
      </c>
      <c r="E8" s="3" t="inlineStr">
        <is>
          <t>Alpha</t>
        </is>
      </c>
      <c r="F8" s="3" t="inlineStr"/>
    </row>
    <row r="9">
      <c r="A9" s="3" t="inlineStr">
        <is>
          <t>06-SECURITY-AND-OPERATIONS.md</t>
        </is>
      </c>
      <c r="B9" s="3" t="inlineStr">
        <is>
          <t>SEC-08</t>
        </is>
      </c>
      <c r="C9" s="3" t="inlineStr">
        <is>
          <t>Privilege escalation via delegation</t>
        </is>
      </c>
      <c r="D9" s="3" t="inlineStr">
        <is>
          <t>Blocked; delegate ≤ delegator</t>
        </is>
      </c>
      <c r="E9" s="3" t="inlineStr">
        <is>
          <t>Beta</t>
        </is>
      </c>
      <c r="F9" s="3" t="inlineStr"/>
    </row>
    <row r="10">
      <c r="A10" s="3" t="inlineStr">
        <is>
          <t>06-SECURITY-AND-OPERATIONS.md</t>
        </is>
      </c>
      <c r="B10" s="3" t="inlineStr">
        <is>
          <t>SEC-09</t>
        </is>
      </c>
      <c r="C10" s="3" t="inlineStr">
        <is>
          <t>Unsafe BPMN (scripts, XXE, entity bombs)</t>
        </is>
      </c>
      <c r="D10" s="3" t="inlineStr">
        <is>
          <t>Rejected with diagnostics</t>
        </is>
      </c>
      <c r="E10" s="3" t="inlineStr">
        <is>
          <t>Beta</t>
        </is>
      </c>
      <c r="F10" s="3" t="inlineStr"/>
    </row>
    <row r="11">
      <c r="A11" s="3" t="inlineStr">
        <is>
          <t>06-SECURITY-AND-OPERATIONS.md</t>
        </is>
      </c>
      <c r="B11" s="3" t="inlineStr">
        <is>
          <t>SEC-10</t>
        </is>
      </c>
      <c r="C11" s="3" t="inlineStr">
        <is>
          <t>Signed URL expiry &amp; workspace binding</t>
        </is>
      </c>
      <c r="D11" s="3" t="inlineStr">
        <is>
          <t>Expired/foreign → denied</t>
        </is>
      </c>
      <c r="E11" s="3" t="inlineStr">
        <is>
          <t>Alpha</t>
        </is>
      </c>
      <c r="F11" s="3" t="inlineStr"/>
    </row>
    <row r="12">
      <c r="A12" s="3" t="inlineStr">
        <is>
          <t>06-SECURITY-AND-OPERATIONS.md</t>
        </is>
      </c>
      <c r="B12" s="3" t="inlineStr">
        <is>
          <t>SEC-11</t>
        </is>
      </c>
      <c r="C12" s="3" t="inlineStr">
        <is>
          <t>Session fixation</t>
        </is>
      </c>
      <c r="D12" s="3" t="inlineStr">
        <is>
          <t>Session id rotated on login/MFA/step-up</t>
        </is>
      </c>
      <c r="E12" s="3" t="inlineStr">
        <is>
          <t>Alpha</t>
        </is>
      </c>
      <c r="F12" s="3" t="inlineStr"/>
    </row>
    <row r="13">
      <c r="A13" s="3" t="inlineStr">
        <is>
          <t>06-SECURITY-AND-OPERATIONS.md</t>
        </is>
      </c>
      <c r="B13" s="3" t="inlineStr">
        <is>
          <t>SEC-12</t>
        </is>
      </c>
      <c r="C13" s="3" t="inlineStr">
        <is>
          <t>Brute force / credential stuffing</t>
        </is>
      </c>
      <c r="D13" s="3" t="inlineStr">
        <is>
          <t>Backoff + lockout + alert; no user enumeration</t>
        </is>
      </c>
      <c r="E13" s="3" t="inlineStr">
        <is>
          <t>Alpha</t>
        </is>
      </c>
      <c r="F13" s="3" t="inlineStr"/>
    </row>
    <row r="14">
      <c r="A14" s="3" t="inlineStr">
        <is>
          <t>06-SECURITY-AND-OPERATIONS.md</t>
        </is>
      </c>
      <c r="B14" s="3" t="inlineStr">
        <is>
          <t>SEC-13</t>
        </is>
      </c>
      <c r="C14" s="3" t="inlineStr">
        <is>
          <t>CSRF on every mutating route</t>
        </is>
      </c>
      <c r="D14" s="3" t="inlineStr">
        <is>
          <t>Missing/foreign Origin or token → 403</t>
        </is>
      </c>
      <c r="E14" s="3" t="inlineStr">
        <is>
          <t>Alpha</t>
        </is>
      </c>
      <c r="F14" s="3" t="inlineStr"/>
    </row>
    <row r="15">
      <c r="A15" s="3" t="inlineStr">
        <is>
          <t>06-SECURITY-AND-OPERATIONS.md</t>
        </is>
      </c>
      <c r="B15" s="3" t="inlineStr">
        <is>
          <t>SEC-14</t>
        </is>
      </c>
      <c r="C15" s="3" t="inlineStr">
        <is>
          <t>Refresh token reuse</t>
        </is>
      </c>
      <c r="D15" s="3" t="inlineStr">
        <is>
          <t>Family revoked; `security.token_reuse`</t>
        </is>
      </c>
      <c r="E15" s="3" t="inlineStr">
        <is>
          <t>Alpha</t>
        </is>
      </c>
      <c r="F15" s="3" t="inlineStr"/>
    </row>
    <row r="16">
      <c r="A16" s="3" t="inlineStr">
        <is>
          <t>06-SECURITY-AND-OPERATIONS.md</t>
        </is>
      </c>
      <c r="B16" s="3" t="inlineStr">
        <is>
          <t>SEC-15</t>
        </is>
      </c>
      <c r="C16" s="3" t="inlineStr">
        <is>
          <t>Magic-link replay / expiry / wrong item</t>
        </is>
      </c>
      <c r="D16" s="3" t="inlineStr">
        <is>
          <t>Rejected</t>
        </is>
      </c>
      <c r="E16" s="3" t="inlineStr">
        <is>
          <t>RC</t>
        </is>
      </c>
      <c r="F16" s="3" t="inlineStr"/>
    </row>
    <row r="17">
      <c r="A17" s="3" t="inlineStr">
        <is>
          <t>06-SECURITY-AND-OPERATIONS.md</t>
        </is>
      </c>
      <c r="B17" s="3" t="inlineStr">
        <is>
          <t>SEC-16</t>
        </is>
      </c>
      <c r="C17" s="3" t="inlineStr">
        <is>
          <t>MFA bypass attempts (skip step, TOTP replay)</t>
        </is>
      </c>
      <c r="D17" s="3" t="inlineStr">
        <is>
          <t>Denied</t>
        </is>
      </c>
      <c r="E17" s="3" t="inlineStr">
        <is>
          <t>Alpha</t>
        </is>
      </c>
      <c r="F17" s="3" t="inlineStr"/>
    </row>
    <row r="18">
      <c r="A18" s="3" t="inlineStr">
        <is>
          <t>06-SECURITY-AND-OPERATIONS.md</t>
        </is>
      </c>
      <c r="B18" s="3" t="inlineStr">
        <is>
          <t>SEC-17</t>
        </is>
      </c>
      <c r="C18" s="3" t="inlineStr">
        <is>
          <t>Step-up required actions without recent auth</t>
        </is>
      </c>
      <c r="D18" s="3" t="inlineStr">
        <is>
          <t>401 `step_up_required`</t>
        </is>
      </c>
      <c r="E18" s="3" t="inlineStr">
        <is>
          <t>Beta</t>
        </is>
      </c>
      <c r="F18" s="3" t="inlineStr"/>
    </row>
    <row r="19">
      <c r="A19" s="3" t="inlineStr">
        <is>
          <t>06-SECURITY-AND-OPERATIONS.md</t>
        </is>
      </c>
      <c r="B19" s="3" t="inlineStr">
        <is>
          <t>SEC-18</t>
        </is>
      </c>
      <c r="C19" s="3" t="inlineStr">
        <is>
          <t>Signed URL used from another workspace session</t>
        </is>
      </c>
      <c r="D19" s="3" t="inlineStr">
        <is>
          <t>Denied</t>
        </is>
      </c>
      <c r="E19" s="3" t="inlineStr">
        <is>
          <t>Alpha</t>
        </is>
      </c>
      <c r="F19" s="3" t="inlineStr"/>
    </row>
    <row r="20">
      <c r="A20" s="3" t="inlineStr">
        <is>
          <t>06-SECURITY-AND-OPERATIONS.md</t>
        </is>
      </c>
      <c r="B20" s="3" t="inlineStr">
        <is>
          <t>SEC-19</t>
        </is>
      </c>
      <c r="C20" s="3" t="inlineStr">
        <is>
          <t>Quarantine bypass (download before clean, EICAR)</t>
        </is>
      </c>
      <c r="D20" s="3" t="inlineStr">
        <is>
          <t>Never served</t>
        </is>
      </c>
      <c r="E20" s="3" t="inlineStr">
        <is>
          <t>Alpha</t>
        </is>
      </c>
      <c r="F20" s="3" t="inlineStr"/>
    </row>
    <row r="21">
      <c r="A21" s="3" t="inlineStr">
        <is>
          <t>06-SECURITY-AND-OPERATIONS.md</t>
        </is>
      </c>
      <c r="B21" s="3" t="inlineStr">
        <is>
          <t>SEC-20</t>
        </is>
      </c>
      <c r="C21" s="3" t="inlineStr">
        <is>
          <t>Malicious file types: SVG XSS, HTML, polyglot PDF, zip bomb, OOXML XXE</t>
        </is>
      </c>
      <c r="D21" s="3" t="inlineStr">
        <is>
          <t>Neutralised/rejected</t>
        </is>
      </c>
      <c r="E21" s="3" t="inlineStr">
        <is>
          <t>Beta</t>
        </is>
      </c>
      <c r="F21" s="3" t="inlineStr"/>
    </row>
    <row r="22">
      <c r="A22" s="3" t="inlineStr">
        <is>
          <t>06-SECURITY-AND-OPERATIONS.md</t>
        </is>
      </c>
      <c r="B22" s="3" t="inlineStr">
        <is>
          <t>SEC-21</t>
        </is>
      </c>
      <c r="C22" s="3" t="inlineStr">
        <is>
          <t>Route-table authz coverage + BFLA (member calling admin APIs)</t>
        </is>
      </c>
      <c r="D22" s="3" t="inlineStr">
        <is>
          <t>Every route declares action; denied</t>
        </is>
      </c>
      <c r="E22" s="3" t="inlineStr">
        <is>
          <t>Alpha</t>
        </is>
      </c>
      <c r="F22" s="3" t="inlineStr"/>
    </row>
    <row r="23">
      <c r="A23" s="3" t="inlineStr">
        <is>
          <t>06-SECURITY-AND-OPERATIONS.md</t>
        </is>
      </c>
      <c r="B23" s="3" t="inlineStr">
        <is>
          <t>SEC-22</t>
        </is>
      </c>
      <c r="C23" s="3" t="inlineStr">
        <is>
          <t>Stored/DOM XSS corpus in SOP, comments, labels; CSP violation reports</t>
        </is>
      </c>
      <c r="D23" s="3" t="inlineStr">
        <is>
          <t>No execution; CSP blocks</t>
        </is>
      </c>
      <c r="E23" s="3" t="inlineStr">
        <is>
          <t>Alpha</t>
        </is>
      </c>
      <c r="F23" s="3" t="inlineStr"/>
    </row>
    <row r="24">
      <c r="A24" s="3" t="inlineStr">
        <is>
          <t>06-SECURITY-AND-OPERATIONS.md</t>
        </is>
      </c>
      <c r="B24" s="3" t="inlineStr">
        <is>
          <t>SEC-23</t>
        </is>
      </c>
      <c r="C24" s="3" t="inlineStr">
        <is>
          <t>Admin access-logging of restricted reads</t>
        </is>
      </c>
      <c r="D24" s="3" t="inlineStr">
        <is>
          <t>Every read produces `audit.data_access`</t>
        </is>
      </c>
      <c r="E24" s="3" t="inlineStr">
        <is>
          <t>Beta</t>
        </is>
      </c>
      <c r="F24" s="3" t="inlineStr"/>
    </row>
    <row r="25">
      <c r="A25" s="3" t="inlineStr">
        <is>
          <t>06-SECURITY-AND-OPERATIONS.md</t>
        </is>
      </c>
      <c r="B25" s="3" t="inlineStr">
        <is>
          <t>SEC-24</t>
        </is>
      </c>
      <c r="C25" s="3" t="inlineStr">
        <is>
          <t>Rate limits (auth, API, export, search)</t>
        </is>
      </c>
      <c r="D25" s="3" t="inlineStr">
        <is>
          <t>429 with Retry-After; no starvation of other workspaces</t>
        </is>
      </c>
      <c r="E25" s="3" t="inlineStr">
        <is>
          <t>Beta</t>
        </is>
      </c>
      <c r="F25" s="3" t="inlineStr"/>
    </row>
    <row r="26">
      <c r="A26" s="3" t="inlineStr">
        <is>
          <t>06-SECURITY-AND-OPERATIONS.md</t>
        </is>
      </c>
      <c r="B26" s="3" t="inlineStr">
        <is>
          <t>SEC-25</t>
        </is>
      </c>
      <c r="C26" s="3" t="inlineStr">
        <is>
          <t>SSRF variants: DNS rebinding, redirects, IPv6-mapped, decimal IPs</t>
        </is>
      </c>
      <c r="D26" s="3" t="inlineStr">
        <is>
          <t>Blocked</t>
        </is>
      </c>
      <c r="E26" s="3" t="inlineStr">
        <is>
          <t>RC</t>
        </is>
      </c>
      <c r="F26" s="3" t="inlineStr"/>
    </row>
    <row r="27">
      <c r="A27" s="3" t="inlineStr">
        <is>
          <t>06-SECURITY-AND-OPERATIONS.md</t>
        </is>
      </c>
      <c r="B27" s="3" t="inlineStr">
        <is>
          <t>SEC-26</t>
        </is>
      </c>
      <c r="C27" s="3" t="inlineStr">
        <is>
          <t>Archive limits (ratio, depth, entries)</t>
        </is>
      </c>
      <c r="D27" s="3" t="inlineStr">
        <is>
          <t>Rejected safely</t>
        </is>
      </c>
      <c r="E27" s="3" t="inlineStr">
        <is>
          <t>Beta</t>
        </is>
      </c>
      <c r="F27" s="3" t="inlineStr"/>
    </row>
    <row r="28">
      <c r="A28" s="3" t="inlineStr">
        <is>
          <t>06-SECURITY-AND-OPERATIONS.md</t>
        </is>
      </c>
      <c r="B28" s="3" t="inlineStr">
        <is>
          <t>SEC-27</t>
        </is>
      </c>
      <c r="C28" s="3" t="inlineStr">
        <is>
          <t>Expression/rule budget exhaustion, deep JSON</t>
        </is>
      </c>
      <c r="D28" s="3" t="inlineStr">
        <is>
          <t>Incident raised; worker healthy</t>
        </is>
      </c>
      <c r="E28" s="3" t="inlineStr">
        <is>
          <t>Beta</t>
        </is>
      </c>
      <c r="F28" s="3" t="inlineStr"/>
    </row>
    <row r="29">
      <c r="A29" s="3" t="inlineStr">
        <is>
          <t>06-SECURITY-AND-OPERATIONS.md</t>
        </is>
      </c>
      <c r="B29" s="3" t="inlineStr">
        <is>
          <t>SEC-28</t>
        </is>
      </c>
      <c r="C29" s="3" t="inlineStr">
        <is>
          <t>Worker isolation: conversion/scan worker egress &amp; DB access</t>
        </is>
      </c>
      <c r="D29" s="3" t="inlineStr">
        <is>
          <t>None possible</t>
        </is>
      </c>
      <c r="E29" s="3" t="inlineStr">
        <is>
          <t>RC</t>
        </is>
      </c>
      <c r="F29" s="3" t="inlineStr"/>
    </row>
    <row r="30">
      <c r="A30" s="3" t="inlineStr">
        <is>
          <t>06-SECURITY-AND-OPERATIONS.md</t>
        </is>
      </c>
      <c r="B30" s="3" t="inlineStr">
        <is>
          <t>SEC-29</t>
        </is>
      </c>
      <c r="C30" s="3" t="inlineStr">
        <is>
          <t>Custom-role escalation (grant &gt; own, self-grant role:manage)</t>
        </is>
      </c>
      <c r="D30" s="3" t="inlineStr">
        <is>
          <t>Rejected; step-up demanded</t>
        </is>
      </c>
      <c r="E30" s="3" t="inlineStr">
        <is>
          <t>Alpha</t>
        </is>
      </c>
      <c r="F30" s="3" t="inlineStr"/>
    </row>
    <row r="31">
      <c r="A31" s="3" t="inlineStr">
        <is>
          <t>06-SECURITY-AND-OPERATIONS.md</t>
        </is>
      </c>
      <c r="B31" s="3" t="inlineStr">
        <is>
          <t>SEC-30</t>
        </is>
      </c>
      <c r="C31" s="3" t="inlineStr">
        <is>
          <t>Email-action link GET (prefetch) mutation</t>
        </is>
      </c>
      <c r="D31" s="3" t="inlineStr">
        <is>
          <t>No mutation; confirm page only</t>
        </is>
      </c>
      <c r="E31" s="3" t="inlineStr">
        <is>
          <t>RC</t>
        </is>
      </c>
      <c r="F31" s="3" t="inlineStr"/>
    </row>
    <row r="32">
      <c r="A32" s="3" t="inlineStr">
        <is>
          <t>06-SECURITY-AND-OPERATIONS.md</t>
        </is>
      </c>
      <c r="B32" s="3" t="inlineStr">
        <is>
          <t>SEC-31</t>
        </is>
      </c>
      <c r="C32" s="3" t="inlineStr">
        <is>
          <t>Cross-workspace via cache/search/notification paths</t>
        </is>
      </c>
      <c r="D32" s="3" t="inlineStr">
        <is>
          <t>No leakage</t>
        </is>
      </c>
      <c r="E32" s="3" t="inlineStr">
        <is>
          <t>Beta</t>
        </is>
      </c>
      <c r="F32" s="3" t="inlineStr"/>
    </row>
    <row r="33">
      <c r="A33" s="3" t="inlineStr">
        <is>
          <t>06-SECURITY-AND-OPERATIONS.md</t>
        </is>
      </c>
      <c r="B33" s="3" t="inlineStr">
        <is>
          <t>SEC-32</t>
        </is>
      </c>
      <c r="C33" s="3" t="inlineStr">
        <is>
          <t>Query without tenant predicate (lint + RLS with missing setting)</t>
        </is>
      </c>
      <c r="D33" s="3" t="inlineStr">
        <is>
          <t>Build fails; runtime 0 rows</t>
        </is>
      </c>
      <c r="E33" s="3" t="inlineStr">
        <is>
          <t>Alpha</t>
        </is>
      </c>
      <c r="F33" s="3" t="inlineStr"/>
    </row>
    <row r="34">
      <c r="A34" s="3" t="inlineStr">
        <is>
          <t>06-SECURITY-AND-OPERATIONS.md</t>
        </is>
      </c>
      <c r="B34" s="3" t="inlineStr">
        <is>
          <t>SEC-33</t>
        </is>
      </c>
      <c r="C34" s="3" t="inlineStr">
        <is>
          <t>Separation mode: admin content access removed; self-grant needs 2nd approver</t>
        </is>
      </c>
      <c r="D34" s="3" t="inlineStr">
        <is>
          <t>Enforced; audited</t>
        </is>
      </c>
      <c r="E34" s="3" t="inlineStr">
        <is>
          <t>RC</t>
        </is>
      </c>
      <c r="F34" s="3" t="inlineStr"/>
    </row>
    <row r="35">
      <c r="A35" s="3" t="inlineStr">
        <is>
          <t>06-SECURITY-AND-OPERATIONS.md</t>
        </is>
      </c>
      <c r="B35" s="3" t="inlineStr">
        <is>
          <t>SEC-34</t>
        </is>
      </c>
      <c r="C35" s="3" t="inlineStr">
        <is>
          <t>System admin content access without break-glass; break-glass visibility</t>
        </is>
      </c>
      <c r="D35" s="3" t="inlineStr">
        <is>
          <t>Denied; banner + workspace audit present</t>
        </is>
      </c>
      <c r="E35" s="3" t="inlineStr">
        <is>
          <t>RC</t>
        </is>
      </c>
      <c r="F35" s="3" t="inlineStr"/>
    </row>
    <row r="36">
      <c r="A36" s="3" t="inlineStr">
        <is>
          <t>06-SECURITY-AND-OPERATIONS.md</t>
        </is>
      </c>
      <c r="B36" s="3" t="inlineStr">
        <is>
          <t>SEC-35</t>
        </is>
      </c>
      <c r="C36" s="3" t="inlineStr">
        <is>
          <t>Audit chain tampering (update, delete, reorder, truncate)</t>
        </is>
      </c>
      <c r="D36" s="3" t="inlineStr">
        <is>
          <t>Verifier detects; DB role cannot update/delete</t>
        </is>
      </c>
      <c r="E36" s="3" t="inlineStr">
        <is>
          <t>Alpha (chain) / RC (checkpoints)</t>
        </is>
      </c>
      <c r="F36" s="3" t="inlineStr"/>
    </row>
    <row r="37">
      <c r="A37" s="3" t="inlineStr">
        <is>
          <t>06-SECURITY-AND-OPERATIONS.md</t>
        </is>
      </c>
      <c r="B37" s="3" t="inlineStr">
        <is>
          <t>SEC-36</t>
        </is>
      </c>
      <c r="C37" s="3" t="inlineStr">
        <is>
          <t>AI prompt injection from content; restricted data in prompts</t>
        </is>
      </c>
      <c r="D37" s="3" t="inlineStr">
        <is>
          <t>No privileged action; restricted never sent</t>
        </is>
      </c>
      <c r="E37" s="3" t="inlineStr">
        <is>
          <t>P2 (with AI)</t>
        </is>
      </c>
      <c r="F37" s="3" t="inlineStr"/>
    </row>
    <row r="38">
      <c r="A38" s="3" t="inlineStr">
        <is>
          <t>06-SECURITY-AND-OPERATIONS.md</t>
        </is>
      </c>
      <c r="B38" s="3" t="inlineStr">
        <is>
          <t>SEC-37</t>
        </is>
      </c>
      <c r="C38" s="3" t="inlineStr">
        <is>
          <t>Supply chain: unsigned/unprovenanced artefact, denied licence, known-vuln dep</t>
        </is>
      </c>
      <c r="D38" s="3" t="inlineStr">
        <is>
          <t>Release pipeline fails</t>
        </is>
      </c>
      <c r="E38" s="3" t="inlineStr">
        <is>
          <t>Alpha</t>
        </is>
      </c>
      <c r="F38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" customWidth="1" min="2" max="2"/>
    <col width="40" customWidth="1" min="3" max="3"/>
    <col width="14" customWidth="1" min="4" max="4"/>
    <col width="50" customWidth="1" min="5" max="5"/>
    <col width="10" customWidth="1" min="6" max="6"/>
    <col width="12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Category</t>
        </is>
      </c>
      <c r="E1" s="2" t="inlineStr">
        <is>
          <t>Pass condition</t>
        </is>
      </c>
      <c r="F1" s="2" t="inlineStr">
        <is>
          <t>Milestone</t>
        </is>
      </c>
      <c r="G1" s="2" t="inlineStr">
        <is>
          <t>Status</t>
        </is>
      </c>
    </row>
    <row r="2">
      <c r="A2" s="3" t="inlineStr">
        <is>
          <t>15-TEST-STRATEGY-AND-CONFORMANCE.md</t>
        </is>
      </c>
      <c r="B2" s="3" t="inlineStr">
        <is>
          <t>T01</t>
        </is>
      </c>
      <c r="C2" s="3" t="inlineStr">
        <is>
          <t>Duplicate approval (race)</t>
        </is>
      </c>
      <c r="D2" s="3" t="inlineStr">
        <is>
          <t>Correctness</t>
        </is>
      </c>
      <c r="E2" s="3" t="inlineStr">
        <is>
          <t>Only one transition commits; loser 409</t>
        </is>
      </c>
      <c r="F2" s="3" t="inlineStr">
        <is>
          <t>M5</t>
        </is>
      </c>
      <c r="G2" s="3" t="inlineStr"/>
    </row>
    <row r="3">
      <c r="A3" s="3" t="inlineStr">
        <is>
          <t>15-TEST-STRATEGY-AND-CONFORMANCE.md</t>
        </is>
      </c>
      <c r="B3" s="3" t="inlineStr">
        <is>
          <t>T02</t>
        </is>
      </c>
      <c r="C3" s="3" t="inlineStr">
        <is>
          <t>Worker killed after commit</t>
        </is>
      </c>
      <c r="D3" s="3" t="inlineStr">
        <is>
          <t>Recovery</t>
        </is>
      </c>
      <c r="E3" s="3" t="inlineStr">
        <is>
          <t>Outbox eventually delivers exactly once to the consumer (dedup)</t>
        </is>
      </c>
      <c r="F3" s="3" t="inlineStr">
        <is>
          <t>M5</t>
        </is>
      </c>
      <c r="G3" s="3" t="inlineStr"/>
    </row>
    <row r="4">
      <c r="A4" s="3" t="inlineStr">
        <is>
          <t>15-TEST-STRATEGY-AND-CONFORMANCE.md</t>
        </is>
      </c>
      <c r="B4" s="3" t="inlineStr">
        <is>
          <t>T03</t>
        </is>
      </c>
      <c r="C4" s="3" t="inlineStr">
        <is>
          <t>30-day wait then resume after republish</t>
        </is>
      </c>
      <c r="D4" s="3" t="inlineStr">
        <is>
          <t>Durability</t>
        </is>
      </c>
      <c r="E4" s="3" t="inlineStr">
        <is>
          <t>Completes on original pinned bundle</t>
        </is>
      </c>
      <c r="F4" s="3" t="inlineStr">
        <is>
          <t>M5</t>
        </is>
      </c>
      <c r="G4" s="3" t="inlineStr"/>
    </row>
    <row r="5">
      <c r="A5" s="3" t="inlineStr">
        <is>
          <t>15-TEST-STRATEGY-AND-CONFORMANCE.md</t>
        </is>
      </c>
      <c r="B5" s="3" t="inlineStr">
        <is>
          <t>T04</t>
        </is>
      </c>
      <c r="C5" s="3" t="inlineStr">
        <is>
          <t>Workspace A reads workspace B</t>
        </is>
      </c>
      <c r="D5" s="3" t="inlineStr">
        <is>
          <t>Security</t>
        </is>
      </c>
      <c r="E5" s="3" t="inlineStr">
        <is>
          <t>Denied (404) and audited, every endpoint</t>
        </is>
      </c>
      <c r="F5" s="3" t="inlineStr">
        <is>
          <t>M2</t>
        </is>
      </c>
      <c r="G5" s="3" t="inlineStr"/>
    </row>
    <row r="6">
      <c r="A6" s="3" t="inlineStr">
        <is>
          <t>15-TEST-STRATEGY-AND-CONFORMANCE.md</t>
        </is>
      </c>
      <c r="B6" s="3" t="inlineStr">
        <is>
          <t>T05</t>
        </is>
      </c>
      <c r="C6" s="3" t="inlineStr">
        <is>
          <t>Expired delegation used</t>
        </is>
      </c>
      <c r="D6" s="3" t="inlineStr">
        <is>
          <t>Security</t>
        </is>
      </c>
      <c r="E6" s="3" t="inlineStr">
        <is>
          <t>Decision denied; fails closed</t>
        </is>
      </c>
      <c r="F6" s="3" t="inlineStr">
        <is>
          <t>M6</t>
        </is>
      </c>
      <c r="G6" s="3" t="inlineStr"/>
    </row>
    <row r="7">
      <c r="A7" s="3" t="inlineStr">
        <is>
          <t>15-TEST-STRATEGY-AND-CONFORMANCE.md</t>
        </is>
      </c>
      <c r="B7" s="3" t="inlineStr">
        <is>
          <t>T06</t>
        </is>
      </c>
      <c r="C7" s="3" t="inlineStr">
        <is>
          <t>Timer lease expiry</t>
        </is>
      </c>
      <c r="D7" s="3" t="inlineStr">
        <is>
          <t>Recovery</t>
        </is>
      </c>
      <c r="E7" s="3" t="inlineStr">
        <is>
          <t>Single effective firing</t>
        </is>
      </c>
      <c r="F7" s="3" t="inlineStr">
        <is>
          <t>M5</t>
        </is>
      </c>
      <c r="G7" s="3" t="inlineStr"/>
    </row>
    <row r="8">
      <c r="A8" s="3" t="inlineStr">
        <is>
          <t>15-TEST-STRATEGY-AND-CONFORMANCE.md</t>
        </is>
      </c>
      <c r="B8" s="3" t="inlineStr">
        <is>
          <t>T07</t>
        </is>
      </c>
      <c r="C8" s="3" t="inlineStr">
        <is>
          <t>Published SOP edited</t>
        </is>
      </c>
      <c r="D8" s="3" t="inlineStr">
        <is>
          <t>Governance</t>
        </is>
      </c>
      <c r="E8" s="3" t="inlineStr">
        <is>
          <t>Published version immutable; edit creates new draft</t>
        </is>
      </c>
      <c r="F8" s="3" t="inlineStr">
        <is>
          <t>M3</t>
        </is>
      </c>
      <c r="G8" s="3" t="inlineStr"/>
    </row>
    <row r="9">
      <c r="A9" s="3" t="inlineStr">
        <is>
          <t>15-TEST-STRATEGY-AND-CONFORMANCE.md</t>
        </is>
      </c>
      <c r="B9" s="3" t="inlineStr">
        <is>
          <t>T08</t>
        </is>
      </c>
      <c r="C9" s="3" t="inlineStr">
        <is>
          <t>Connector webhook replay</t>
        </is>
      </c>
      <c r="D9" s="3" t="inlineStr">
        <is>
          <t>Security</t>
        </is>
      </c>
      <c r="E9" s="3" t="inlineStr">
        <is>
          <t>No duplicate effect; replay rejected outside window</t>
        </is>
      </c>
      <c r="F9" s="3" t="inlineStr">
        <is>
          <t>M8</t>
        </is>
      </c>
      <c r="G9" s="3" t="inlineStr"/>
    </row>
    <row r="10">
      <c r="A10" s="3" t="inlineStr">
        <is>
          <t>15-TEST-STRATEGY-AND-CONFORMANCE.md</t>
        </is>
      </c>
      <c r="B10" s="3" t="inlineStr">
        <is>
          <t>T09</t>
        </is>
      </c>
      <c r="C10" s="3" t="inlineStr">
        <is>
          <t>Restore database + objects</t>
        </is>
      </c>
      <c r="D10" s="3" t="inlineStr">
        <is>
          <t>Operations</t>
        </is>
      </c>
      <c r="E10" s="3" t="inlineStr">
        <is>
          <t>Recovery within RTO ≤ 2 h, RPO ≤ 15 min</t>
        </is>
      </c>
      <c r="F10" s="3" t="inlineStr">
        <is>
          <t>M10</t>
        </is>
      </c>
      <c r="G10" s="3" t="inlineStr"/>
    </row>
    <row r="11">
      <c r="A11" s="3" t="inlineStr">
        <is>
          <t>15-TEST-STRATEGY-AND-CONFORMANCE.md</t>
        </is>
      </c>
      <c r="B11" s="3" t="inlineStr">
        <is>
          <t>T10</t>
        </is>
      </c>
      <c r="C11" s="3" t="inlineStr">
        <is>
          <t>Keyboard-only publish</t>
        </is>
      </c>
      <c r="D11" s="3" t="inlineStr">
        <is>
          <t>Accessibility</t>
        </is>
      </c>
      <c r="E11" s="3" t="inlineStr">
        <is>
          <t>Design → test run → publish without pointer</t>
        </is>
      </c>
      <c r="F11" s="3" t="inlineStr">
        <is>
          <t>M6</t>
        </is>
      </c>
      <c r="G11" s="3" t="inlineStr"/>
    </row>
    <row r="12">
      <c r="A12" s="3" t="inlineStr">
        <is>
          <t>15-TEST-STRATEGY-AND-CONFORMANCE.md</t>
        </is>
      </c>
      <c r="B12" s="3" t="inlineStr">
        <is>
          <t>T11</t>
        </is>
      </c>
      <c r="C12" s="3" t="inlineStr">
        <is>
          <t>10 k waiting instances, restart all workers (SP-01)</t>
        </is>
      </c>
      <c r="D12" s="3" t="inlineStr">
        <is>
          <t>Durability</t>
        </is>
      </c>
      <c r="E12" s="3" t="inlineStr">
        <is>
          <t>0 lost/duplicated transitions</t>
        </is>
      </c>
      <c r="F12" s="3" t="inlineStr">
        <is>
          <t>M5</t>
        </is>
      </c>
      <c r="G12" s="3" t="inlineStr"/>
    </row>
    <row r="13">
      <c r="A13" s="3" t="inlineStr">
        <is>
          <t>15-TEST-STRATEGY-AND-CONFORMANCE.md</t>
        </is>
      </c>
      <c r="B13" s="3" t="inlineStr">
        <is>
          <t>T12</t>
        </is>
      </c>
      <c r="C13" s="3" t="inlineStr">
        <is>
          <t>Parallel branches arrive at join simultaneously</t>
        </is>
      </c>
      <c r="D13" s="3" t="inlineStr">
        <is>
          <t>Correctness</t>
        </is>
      </c>
      <c r="E13" s="3" t="inlineStr">
        <is>
          <t>Join releases exactly once</t>
        </is>
      </c>
      <c r="F13" s="3" t="inlineStr">
        <is>
          <t>M5</t>
        </is>
      </c>
      <c r="G13" s="3" t="inlineStr"/>
    </row>
    <row r="14">
      <c r="A14" s="3" t="inlineStr">
        <is>
          <t>15-TEST-STRATEGY-AND-CONFORMANCE.md</t>
        </is>
      </c>
      <c r="B14" s="3" t="inlineStr">
        <is>
          <t>T13</t>
        </is>
      </c>
      <c r="C14" s="3" t="inlineStr">
        <is>
          <t>Timer fires vs manual completion race</t>
        </is>
      </c>
      <c r="D14" s="3" t="inlineStr">
        <is>
          <t>Correctness</t>
        </is>
      </c>
      <c r="E14" s="3" t="inlineStr">
        <is>
          <t>Exactly one path wins; loser is no-op</t>
        </is>
      </c>
      <c r="F14" s="3" t="inlineStr">
        <is>
          <t>M5</t>
        </is>
      </c>
      <c r="G14" s="3" t="inlineStr"/>
    </row>
    <row r="15">
      <c r="A15" s="3" t="inlineStr">
        <is>
          <t>15-TEST-STRATEGY-AND-CONFORMANCE.md</t>
        </is>
      </c>
      <c r="B15" s="3" t="inlineStr">
        <is>
          <t>T14</t>
        </is>
      </c>
      <c r="C15" s="3" t="inlineStr">
        <is>
          <t>Role/directory change during in-flight decision</t>
        </is>
      </c>
      <c r="D15" s="3" t="inlineStr">
        <is>
          <t>Security</t>
        </is>
      </c>
      <c r="E15" s="3" t="inlineStr">
        <is>
          <t>SoD re-checked at decision time</t>
        </is>
      </c>
      <c r="F15" s="3" t="inlineStr">
        <is>
          <t>M6</t>
        </is>
      </c>
      <c r="G15" s="3" t="inlineStr"/>
    </row>
    <row r="16">
      <c r="A16" s="3" t="inlineStr">
        <is>
          <t>15-TEST-STRATEGY-AND-CONFORMANCE.md</t>
        </is>
      </c>
      <c r="B16" s="3" t="inlineStr">
        <is>
          <t>T15</t>
        </is>
      </c>
      <c r="C16" s="3" t="inlineStr">
        <is>
          <t>Idempotent request start (same key, same body / changed body)</t>
        </is>
      </c>
      <c r="D16" s="3" t="inlineStr">
        <is>
          <t>Correctness</t>
        </is>
      </c>
      <c r="E16" s="3" t="inlineStr">
        <is>
          <t>Same response / 409</t>
        </is>
      </c>
      <c r="F16" s="3" t="inlineStr">
        <is>
          <t>M5</t>
        </is>
      </c>
      <c r="G16" s="3" t="inlineStr"/>
    </row>
    <row r="17">
      <c r="A17" s="3" t="inlineStr">
        <is>
          <t>15-TEST-STRATEGY-AND-CONFORMANCE.md</t>
        </is>
      </c>
      <c r="B17" s="3" t="inlineStr">
        <is>
          <t>T16</t>
        </is>
      </c>
      <c r="C17" s="3" t="inlineStr">
        <is>
          <t>Cross-workspace signed file URL</t>
        </is>
      </c>
      <c r="D17" s="3" t="inlineStr">
        <is>
          <t>Security</t>
        </is>
      </c>
      <c r="E17" s="3" t="inlineStr">
        <is>
          <t>Rejected outside workspace and after expiry (SEC-10)</t>
        </is>
      </c>
      <c r="F17" s="3" t="inlineStr">
        <is>
          <t>M4</t>
        </is>
      </c>
      <c r="G17" s="3" t="inlineStr"/>
    </row>
    <row r="18">
      <c r="A18" s="3" t="inlineStr">
        <is>
          <t>15-TEST-STRATEGY-AND-CONFORMANCE.md</t>
        </is>
      </c>
      <c r="B18" s="3" t="inlineStr">
        <is>
          <t>T17</t>
        </is>
      </c>
      <c r="C18" s="3" t="inlineStr">
        <is>
          <t>EICAR upload</t>
        </is>
      </c>
      <c r="D18" s="3" t="inlineStr">
        <is>
          <t>Security</t>
        </is>
      </c>
      <c r="E18" s="3" t="inlineStr">
        <is>
          <t>Quarantined; not downloadable without `file:manage_quarantine`</t>
        </is>
      </c>
      <c r="F18" s="3" t="inlineStr">
        <is>
          <t>M4</t>
        </is>
      </c>
      <c r="G18" s="3" t="inlineStr"/>
    </row>
    <row r="19">
      <c r="A19" s="3" t="inlineStr">
        <is>
          <t>15-TEST-STRATEGY-AND-CONFORMANCE.md</t>
        </is>
      </c>
      <c r="B19" s="3" t="inlineStr">
        <is>
          <t>T18</t>
        </is>
      </c>
      <c r="C19" s="3" t="inlineStr">
        <is>
          <t>Audit coverage contract</t>
        </is>
      </c>
      <c r="D19" s="3" t="inlineStr">
        <is>
          <t>Audit</t>
        </is>
      </c>
      <c r="E19" s="3" t="inlineStr">
        <is>
          <t>Every mutating route emits exactly one audit event</t>
        </is>
      </c>
      <c r="F19" s="3" t="inlineStr">
        <is>
          <t>M2</t>
        </is>
      </c>
      <c r="G19" s="3" t="inlineStr"/>
    </row>
    <row r="20">
      <c r="A20" s="3" t="inlineStr">
        <is>
          <t>15-TEST-STRATEGY-AND-CONFORMANCE.md</t>
        </is>
      </c>
      <c r="B20" s="3" t="inlineStr">
        <is>
          <t>T19</t>
        </is>
      </c>
      <c r="C20" s="3" t="inlineStr">
        <is>
          <t>Audit chain tamper (modify, delete, reorder)</t>
        </is>
      </c>
      <c r="D20" s="3" t="inlineStr">
        <is>
          <t>Audit</t>
        </is>
      </c>
      <c r="E20" s="3" t="inlineStr">
        <is>
          <t>Verifier detects each</t>
        </is>
      </c>
      <c r="F20" s="3" t="inlineStr">
        <is>
          <t>M2 (chain) / M9 (verifier CLI)</t>
        </is>
      </c>
      <c r="G20" s="3" t="inlineStr"/>
    </row>
    <row r="21">
      <c r="A21" s="3" t="inlineStr">
        <is>
          <t>15-TEST-STRATEGY-AND-CONFORMANCE.md</t>
        </is>
      </c>
      <c r="B21" s="3" t="inlineStr">
        <is>
          <t>T20</t>
        </is>
      </c>
      <c r="C21" s="3" t="inlineStr">
        <is>
          <t>Custom role escalation attempt</t>
        </is>
      </c>
      <c r="D21" s="3" t="inlineStr">
        <is>
          <t>Security</t>
        </is>
      </c>
      <c r="E21" s="3" t="inlineStr">
        <is>
          <t>Editor cannot grant permissions they lack</t>
        </is>
      </c>
      <c r="F21" s="3" t="inlineStr">
        <is>
          <t>M2</t>
        </is>
      </c>
      <c r="G21" s="3" t="inlineStr"/>
    </row>
    <row r="22">
      <c r="A22" s="3" t="inlineStr">
        <is>
          <t>15-TEST-STRATEGY-AND-CONFORMANCE.md</t>
        </is>
      </c>
      <c r="B22" s="3" t="inlineStr">
        <is>
          <t>T21</t>
        </is>
      </c>
      <c r="C22" s="3" t="inlineStr">
        <is>
          <t>Duplicate service.call execution after crash</t>
        </is>
      </c>
      <c r="D22" s="3" t="inlineStr">
        <is>
          <t>Correctness</t>
        </is>
      </c>
      <c r="E22" s="3" t="inlineStr">
        <is>
          <t>Single downstream effect per idempotency key</t>
        </is>
      </c>
      <c r="F22" s="3" t="inlineStr">
        <is>
          <t>M5</t>
        </is>
      </c>
      <c r="G22" s="3" t="inlineStr"/>
    </row>
    <row r="23">
      <c r="A23" s="3" t="inlineStr">
        <is>
          <t>15-TEST-STRATEGY-AND-CONFORMANCE.md</t>
        </is>
      </c>
      <c r="B23" s="3" t="inlineStr">
        <is>
          <t>T22</t>
        </is>
      </c>
      <c r="C23" s="3" t="inlineStr">
        <is>
          <t>BPMN import round-trip (SP-06)</t>
        </is>
      </c>
      <c r="D23" s="3" t="inlineStr">
        <is>
          <t>Interop</t>
        </is>
      </c>
      <c r="E23" s="3" t="inlineStr">
        <is>
          <t>Supported elements round-trip; unsupported ones reported by id</t>
        </is>
      </c>
      <c r="F23" s="3" t="inlineStr">
        <is>
          <t>M6</t>
        </is>
      </c>
      <c r="G23" s="3" t="inlineStr"/>
    </row>
    <row r="24">
      <c r="A24" s="3" t="inlineStr">
        <is>
          <t>15-TEST-STRATEGY-AND-CONFORMANCE.md</t>
        </is>
      </c>
      <c r="B24" s="3" t="inlineStr">
        <is>
          <t>T23</t>
        </is>
      </c>
      <c r="C24" s="3" t="inlineStr">
        <is>
          <t>Expression golden set (SP-08)</t>
        </is>
      </c>
      <c r="D24" s="3" t="inlineStr">
        <is>
          <t>Correctness</t>
        </is>
      </c>
      <c r="E24" s="3" t="inlineStr">
        <is>
          <t>100 % golden pass; budget enforced; no panics under fuzz</t>
        </is>
      </c>
      <c r="F24" s="3" t="inlineStr">
        <is>
          <t>M1</t>
        </is>
      </c>
      <c r="G24" s="3" t="inlineStr"/>
    </row>
    <row r="25">
      <c r="A25" s="3" t="inlineStr">
        <is>
          <t>15-TEST-STRATEGY-AND-CONFORMANCE.md</t>
        </is>
      </c>
      <c r="B25" s="3" t="inlineStr">
        <is>
          <t>T24</t>
        </is>
      </c>
      <c r="C25" s="3" t="inlineStr">
        <is>
          <t>RLS under pooled mixed-tenant load (SP-09)</t>
        </is>
      </c>
      <c r="D25" s="3" t="inlineStr">
        <is>
          <t>Security</t>
        </is>
      </c>
      <c r="E25" s="3" t="inlineStr">
        <is>
          <t>0 cross-workspace rows in 1 h soak</t>
        </is>
      </c>
      <c r="F25" s="3" t="inlineStr">
        <is>
          <t>M1</t>
        </is>
      </c>
      <c r="G25" s="3" t="inlineStr"/>
    </row>
    <row r="26">
      <c r="A26" s="3" t="inlineStr">
        <is>
          <t>15-TEST-STRATEGY-AND-CONFORMANCE.md</t>
        </is>
      </c>
      <c r="B26" s="3" t="inlineStr">
        <is>
          <t>T25</t>
        </is>
      </c>
      <c r="C26" s="3" t="inlineStr">
        <is>
          <t>Audit explorer 10 M events (SP-10)</t>
        </is>
      </c>
      <c r="D26" s="3" t="inlineStr">
        <is>
          <t>Performance</t>
        </is>
      </c>
      <c r="E26" s="3" t="inlineStr">
        <is>
          <t>P95 &lt; 2 s indexed filters; ≥ 2 000 appends/s</t>
        </is>
      </c>
      <c r="F26" s="3" t="inlineStr">
        <is>
          <t>M4</t>
        </is>
      </c>
      <c r="G26" s="3" t="inlineStr"/>
    </row>
    <row r="27">
      <c r="A27" s="3" t="inlineStr">
        <is>
          <t>15-TEST-STRATEGY-AND-CONFORMANCE.md</t>
        </is>
      </c>
      <c r="B27" s="3" t="inlineStr">
        <is>
          <t>T26</t>
        </is>
      </c>
      <c r="C27" s="3" t="inlineStr">
        <is>
          <t>Data-grid filter/sort parity</t>
        </is>
      </c>
      <c r="D27" s="3" t="inlineStr">
        <is>
          <t>Correctness</t>
        </is>
      </c>
      <c r="E27" s="3" t="inlineStr">
        <is>
          <t>API = reference; export = grid incl. redaction</t>
        </is>
      </c>
      <c r="F27" s="3" t="inlineStr">
        <is>
          <t>M4</t>
        </is>
      </c>
      <c r="G27" s="3" t="inlineStr"/>
    </row>
    <row r="28">
      <c r="A28" s="3" t="inlineStr">
        <is>
          <t>15-TEST-STRATEGY-AND-CONFORMANCE.md</t>
        </is>
      </c>
      <c r="B28" s="3" t="inlineStr">
        <is>
          <t>T27</t>
        </is>
      </c>
      <c r="C28" s="3" t="inlineStr">
        <is>
          <t>Admin bulk reassign 500 items</t>
        </is>
      </c>
      <c r="D28" s="3" t="inlineStr">
        <is>
          <t>Admin</t>
        </is>
      </c>
      <c r="E28" s="3" t="inlineStr">
        <is>
          <t>Per-item result + audit; impact preview count exact</t>
        </is>
      </c>
      <c r="F28" s="3" t="inlineStr">
        <is>
          <t>M4</t>
        </is>
      </c>
      <c r="G28" s="3" t="inlineStr"/>
    </row>
    <row r="29">
      <c r="A29" s="3" t="inlineStr">
        <is>
          <t>15-TEST-STRATEGY-AND-CONFORMANCE.md</t>
        </is>
      </c>
      <c r="B29" s="3" t="inlineStr">
        <is>
          <t>T28</t>
        </is>
      </c>
      <c r="C29" s="3" t="inlineStr">
        <is>
          <t>Workspace suspend → restore</t>
        </is>
      </c>
      <c r="D29" s="3" t="inlineStr">
        <is>
          <t>Admin</t>
        </is>
      </c>
      <c r="E29" s="3" t="inlineStr">
        <is>
          <t>Writes 423 while suspended; no data loss</t>
        </is>
      </c>
      <c r="F29" s="3" t="inlineStr">
        <is>
          <t>M2</t>
        </is>
      </c>
      <c r="G29" s="3" t="inlineStr"/>
    </row>
    <row r="30">
      <c r="A30" s="3" t="inlineStr">
        <is>
          <t>15-TEST-STRATEGY-AND-CONFORMANCE.md</t>
        </is>
      </c>
      <c r="B30" s="3" t="inlineStr">
        <is>
          <t>T29</t>
        </is>
      </c>
      <c r="C30" s="3" t="inlineStr">
        <is>
          <t>Workspace delete (after grace)</t>
        </is>
      </c>
      <c r="D30" s="3" t="inlineStr">
        <is>
          <t>Privacy</t>
        </is>
      </c>
      <c r="E30" s="3" t="inlineStr">
        <is>
          <t>Data purged, keys shredded, system record pseudonymised</t>
        </is>
      </c>
      <c r="F30" s="3" t="inlineStr">
        <is>
          <t>M10</t>
        </is>
      </c>
      <c r="G30" s="3" t="inlineStr"/>
    </row>
    <row r="31">
      <c r="A31" s="3" t="inlineStr">
        <is>
          <t>15-TEST-STRATEGY-AND-CONFORMANCE.md</t>
        </is>
      </c>
      <c r="B31" s="3" t="inlineStr">
        <is>
          <t>T30</t>
        </is>
      </c>
      <c r="C31" s="3" t="inlineStr">
        <is>
          <t>File linked to published version: delete attempt</t>
        </is>
      </c>
      <c r="D31" s="3" t="inlineStr">
        <is>
          <t>Governance</t>
        </is>
      </c>
      <c r="E31" s="3" t="inlineStr">
        <is>
          <t>Refused with reason; retention/hold respected</t>
        </is>
      </c>
      <c r="F31" s="3" t="inlineStr">
        <is>
          <t>M4</t>
        </is>
      </c>
      <c r="G31" s="3" t="inlineStr"/>
    </row>
    <row r="32">
      <c r="A32" s="3" t="inlineStr">
        <is>
          <t>15-TEST-STRATEGY-AND-CONFORMANCE.md</t>
        </is>
      </c>
      <c r="B32" s="3" t="inlineStr">
        <is>
          <t>T31</t>
        </is>
      </c>
      <c r="C32" s="3" t="inlineStr">
        <is>
          <t>DB failover during decision burst</t>
        </is>
      </c>
      <c r="D32" s="3" t="inlineStr">
        <is>
          <t>Recovery</t>
        </is>
      </c>
      <c r="E32" s="3" t="inlineStr">
        <is>
          <t>No lost accepted decisions; clients retry idempotently</t>
        </is>
      </c>
      <c r="F32" s="3" t="inlineStr">
        <is>
          <t>M10</t>
        </is>
      </c>
      <c r="G32" s="3" t="inlineStr"/>
    </row>
    <row r="33">
      <c r="A33" s="3" t="inlineStr">
        <is>
          <t>15-TEST-STRATEGY-AND-CONFORMANCE.md</t>
        </is>
      </c>
      <c r="B33" s="3" t="inlineStr">
        <is>
          <t>T32</t>
        </is>
      </c>
      <c r="C33" s="3" t="inlineStr">
        <is>
          <t>Break-glass session</t>
        </is>
      </c>
      <c r="D33" s="3" t="inlineStr">
        <is>
          <t>Security</t>
        </is>
      </c>
      <c r="E33" s="3" t="inlineStr">
        <is>
          <t>Time-boxed, read-only, visible in workspace audit + banner</t>
        </is>
      </c>
      <c r="F33" s="3" t="inlineStr">
        <is>
          <t>M8</t>
        </is>
      </c>
      <c r="G33" s="3" t="inlineStr"/>
    </row>
    <row r="34">
      <c r="A34" s="3" t="inlineStr">
        <is>
          <t>15-TEST-STRATEGY-AND-CONFORMANCE.md</t>
        </is>
      </c>
      <c r="B34" s="3" t="inlineStr">
        <is>
          <t>T33</t>
        </is>
      </c>
      <c r="C34" s="3" t="inlineStr">
        <is>
          <t>Separation mode on</t>
        </is>
      </c>
      <c r="D34" s="3" t="inlineStr">
        <is>
          <t>Security</t>
        </is>
      </c>
      <c r="E34" s="3" t="inlineStr">
        <is>
          <t>Admin loses content access; self-grant needs second admin</t>
        </is>
      </c>
      <c r="F34" s="3" t="inlineStr">
        <is>
          <t>M8</t>
        </is>
      </c>
      <c r="G34" s="3" t="inlineStr"/>
    </row>
    <row r="35">
      <c r="A35" s="3" t="inlineStr">
        <is>
          <t>15-TEST-STRATEGY-AND-CONFORMANCE.md</t>
        </is>
      </c>
      <c r="B35" s="3" t="inlineStr">
        <is>
          <t>T34</t>
        </is>
      </c>
      <c r="C35" s="3" t="inlineStr">
        <is>
          <t>Part 11 signature without re-auth</t>
        </is>
      </c>
      <c r="D35" s="3" t="inlineStr">
        <is>
          <t>Compliance</t>
        </is>
      </c>
      <c r="E35" s="3" t="inlineStr">
        <is>
          <t>Rejected; with re-auth: manifestation + record hash stored</t>
        </is>
      </c>
      <c r="F35" s="3" t="inlineStr">
        <is>
          <t>M9</t>
        </is>
      </c>
      <c r="G35" s="3" t="inlineStr"/>
    </row>
    <row r="36">
      <c r="A36" s="3" t="inlineStr">
        <is>
          <t>15-TEST-STRATEGY-AND-CONFORMANCE.md</t>
        </is>
      </c>
      <c r="B36" s="3" t="inlineStr">
        <is>
          <t>T35</t>
        </is>
      </c>
      <c r="C36" s="3" t="inlineStr">
        <is>
          <t>Investigation evidence export</t>
        </is>
      </c>
      <c r="D36" s="3" t="inlineStr">
        <is>
          <t>Audit</t>
        </is>
      </c>
      <c r="E36" s="3" t="inlineStr">
        <is>
          <t>Signed bundle verifies offline with `procera-verify`</t>
        </is>
      </c>
      <c r="F36" s="3" t="inlineStr">
        <is>
          <t>M9</t>
        </is>
      </c>
      <c r="G36" s="3" t="inlineStr"/>
    </row>
    <row r="37">
      <c r="A37" s="3" t="inlineStr">
        <is>
          <t>15-TEST-STRATEGY-AND-CONFORMANCE.md</t>
        </is>
      </c>
      <c r="B37" s="3" t="inlineStr">
        <is>
          <t>T36</t>
        </is>
      </c>
      <c r="C37" s="3" t="inlineStr">
        <is>
          <t>Template gallery fixtures</t>
        </is>
      </c>
      <c r="D37" s="3" t="inlineStr">
        <is>
          <t>Templates</t>
        </is>
      </c>
      <c r="E37" s="3" t="inlineStr">
        <is>
          <t>Every Wave-1 template installs + test-runs green</t>
        </is>
      </c>
      <c r="F37" s="3" t="inlineStr">
        <is>
          <t>M6</t>
        </is>
      </c>
      <c r="G37" s="3" t="inlineStr"/>
    </row>
    <row r="38">
      <c r="A38" s="3" t="inlineStr">
        <is>
          <t>15-TEST-STRATEGY-AND-CONFORMANCE.md</t>
        </is>
      </c>
      <c r="B38" s="3" t="inlineStr">
        <is>
          <t>T37</t>
        </is>
      </c>
      <c r="C38" s="3" t="inlineStr">
        <is>
          <t>N-1 → N upgrade with live instances</t>
        </is>
      </c>
      <c r="D38" s="3" t="inlineStr">
        <is>
          <t>Operations</t>
        </is>
      </c>
      <c r="E38" s="3" t="inlineStr">
        <is>
          <t>All waiting instances complete; chain verifies</t>
        </is>
      </c>
      <c r="F38" s="3" t="inlineStr">
        <is>
          <t>M10</t>
        </is>
      </c>
      <c r="G38" s="3" t="inlineStr"/>
    </row>
    <row r="39">
      <c r="A39" s="3" t="inlineStr">
        <is>
          <t>15-TEST-STRATEGY-AND-CONFORMANCE.md</t>
        </is>
      </c>
      <c r="B39" s="3" t="inlineStr">
        <is>
          <t>T38</t>
        </is>
      </c>
      <c r="C39" s="3" t="inlineStr">
        <is>
          <t>Pseudo-locale + RTL screens</t>
        </is>
      </c>
      <c r="D39" s="3" t="inlineStr">
        <is>
          <t>i18n</t>
        </is>
      </c>
      <c r="E39" s="3" t="inlineStr">
        <is>
          <t>No truncation/hard-coded strings on key screens</t>
        </is>
      </c>
      <c r="F39" s="3" t="inlineStr">
        <is>
          <t>M6</t>
        </is>
      </c>
      <c r="G39" s="3" t="inlineStr"/>
    </row>
    <row r="40">
      <c r="A40" s="3" t="inlineStr">
        <is>
          <t>15-TEST-STRATEGY-AND-CONFORMANCE.md</t>
        </is>
      </c>
      <c r="B40" s="3" t="inlineStr">
        <is>
          <t>T39</t>
        </is>
      </c>
      <c r="C40" s="3" t="inlineStr">
        <is>
          <t>SSRF via DNS rebinding / metadata IP</t>
        </is>
      </c>
      <c r="D40" s="3" t="inlineStr">
        <is>
          <t>Security</t>
        </is>
      </c>
      <c r="E40" s="3" t="inlineStr">
        <is>
          <t>Blocked at egress proxy (SEC-06)</t>
        </is>
      </c>
      <c r="F40" s="3" t="inlineStr">
        <is>
          <t>M8</t>
        </is>
      </c>
      <c r="G40" s="3" t="inlineStr"/>
    </row>
    <row r="41">
      <c r="A41" s="3" t="inlineStr">
        <is>
          <t>15-TEST-STRATEGY-AND-CONFORMANCE.md</t>
        </is>
      </c>
      <c r="B41" s="3" t="inlineStr">
        <is>
          <t>T40</t>
        </is>
      </c>
      <c r="C41" s="3" t="inlineStr">
        <is>
          <t>Reference load (100 ws, 10 k waiting, 100 tps burst)</t>
        </is>
      </c>
      <c r="D41" s="3" t="inlineStr">
        <is>
          <t>Performance</t>
        </is>
      </c>
      <c r="E41" s="3" t="inlineStr">
        <is>
          <t>P95 read &lt; 300 ms, transition &lt; 500 ms</t>
        </is>
      </c>
      <c r="F41" s="3" t="inlineStr">
        <is>
          <t>M10</t>
        </is>
      </c>
      <c r="G41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50" customWidth="1" min="3" max="3"/>
    <col width="60" customWidth="1" min="4" max="4"/>
    <col width="18" customWidth="1" min="5" max="5"/>
    <col width="10" customWidth="1" min="6" max="6"/>
    <col width="30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Question</t>
        </is>
      </c>
      <c r="D1" s="2" t="inlineStr">
        <is>
          <t>Recommendation</t>
        </is>
      </c>
      <c r="E1" s="2" t="inlineStr">
        <is>
          <t>Owner</t>
        </is>
      </c>
      <c r="F1" s="2" t="inlineStr">
        <is>
          <t>Decide by</t>
        </is>
      </c>
      <c r="G1" s="2" t="inlineStr">
        <is>
          <t>Decision</t>
        </is>
      </c>
    </row>
    <row r="2">
      <c r="A2" s="3" t="inlineStr">
        <is>
          <t>22-UNKNOWNS-ASSUMPTIONS-AND-OPEN-QUESTIONS.md</t>
        </is>
      </c>
      <c r="B2" s="3" t="inlineStr">
        <is>
          <t>OQ-01</t>
        </is>
      </c>
      <c r="C2" s="3" t="inlineStr">
        <is>
          <t>~~Product name~~ **Decided 2026-10-11: Procera.** Remaining: trademark/domain search (`procera.dev` is a placeholder in error-type URIs), public repository name (local dir is `bpms`)</t>
        </is>
      </c>
      <c r="D2" s="3" t="inlineStr">
        <is>
          <t>Run a trademark search in target markets (IN, EU, US) before the public launch; register the domain</t>
        </is>
      </c>
      <c r="E2" s="3" t="inlineStr">
        <is>
          <t>Product owner</t>
        </is>
      </c>
      <c r="F2" s="3" t="inlineStr">
        <is>
          <t>R1</t>
        </is>
      </c>
      <c r="G2" s="3" t="inlineStr"/>
    </row>
    <row r="3">
      <c r="A3" s="3" t="inlineStr">
        <is>
          <t>22-UNKNOWNS-ASSUMPTIONS-AND-OPEN-QUESTIONS.md</t>
        </is>
      </c>
      <c r="B3" s="3" t="inlineStr">
        <is>
          <t>OQ-02</t>
        </is>
      </c>
      <c r="C3" s="3" t="inlineStr">
        <is>
          <t>Hosted SaaS at GA, or self-host only first?</t>
        </is>
      </c>
      <c r="D3" s="3" t="inlineStr">
        <is>
          <t>Self-host at GA, hosted pilot at M10, so the architecture is ready (residency, quotas)</t>
        </is>
      </c>
      <c r="E3" s="3" t="inlineStr">
        <is>
          <t>Product owner</t>
        </is>
      </c>
      <c r="F3" s="3" t="inlineStr">
        <is>
          <t>M7</t>
        </is>
      </c>
      <c r="G3" s="3" t="inlineStr"/>
    </row>
    <row r="4">
      <c r="A4" s="3" t="inlineStr">
        <is>
          <t>22-UNKNOWNS-ASSUMPTIONS-AND-OPEN-QUESTIONS.md</t>
        </is>
      </c>
      <c r="B4" s="3" t="inlineStr">
        <is>
          <t>OQ-03</t>
        </is>
      </c>
      <c r="C4" s="3" t="inlineStr">
        <is>
          <t>First regulated industry to target (pharma / BFSI / public sector)?</t>
        </is>
      </c>
      <c r="D4" s="3" t="inlineStr">
        <is>
          <t>BFSI/IT-services in India + EU SMEs first; pharma (Part 11) as a design constraint, sold after M9</t>
        </is>
      </c>
      <c r="E4" s="3" t="inlineStr">
        <is>
          <t>Product owner</t>
        </is>
      </c>
      <c r="F4" s="3" t="inlineStr">
        <is>
          <t>M7</t>
        </is>
      </c>
      <c r="G4" s="3" t="inlineStr"/>
    </row>
    <row r="5">
      <c r="A5" s="3" t="inlineStr">
        <is>
          <t>22-UNKNOWNS-ASSUMPTIONS-AND-OPEN-QUESTIONS.md</t>
        </is>
      </c>
      <c r="B5" s="3" t="inlineStr">
        <is>
          <t>OQ-04</t>
        </is>
      </c>
      <c r="C5" s="3" t="inlineStr">
        <is>
          <t>Can a single user belong to workspaces of *different* customers on a hosted deployment (like Slack Connect)?</t>
        </is>
      </c>
      <c r="D5" s="3" t="inlineStr">
        <is>
          <t>Yes (global accounts), but no cross-workspace data, ever</t>
        </is>
      </c>
      <c r="E5" s="3" t="inlineStr">
        <is>
          <t>Product owner</t>
        </is>
      </c>
      <c r="F5" s="3" t="inlineStr">
        <is>
          <t>M2</t>
        </is>
      </c>
      <c r="G5" s="3" t="inlineStr"/>
    </row>
    <row r="6">
      <c r="A6" s="3" t="inlineStr">
        <is>
          <t>22-UNKNOWNS-ASSUMPTIONS-AND-OPEN-QUESTIONS.md</t>
        </is>
      </c>
      <c r="B6" s="3" t="inlineStr">
        <is>
          <t>OQ-05</t>
        </is>
      </c>
      <c r="C6" s="3" t="inlineStr">
        <is>
          <t>Expected scale of the first customers (members, active instances)?</t>
        </is>
      </c>
      <c r="D6" s="3" t="inlineStr">
        <is>
          <t>Plan for the reference load (03 §12); validate in interviews</t>
        </is>
      </c>
      <c r="E6" s="3" t="inlineStr">
        <is>
          <t>Product</t>
        </is>
      </c>
      <c r="F6" s="3" t="inlineStr">
        <is>
          <t>M0</t>
        </is>
      </c>
      <c r="G6" s="3" t="inlineStr"/>
    </row>
    <row r="7">
      <c r="A7" s="3" t="inlineStr">
        <is>
          <t>22-UNKNOWNS-ASSUMPTIONS-AND-OPEN-QUESTIONS.md</t>
        </is>
      </c>
      <c r="B7" s="3" t="inlineStr">
        <is>
          <t>OQ-06</t>
        </is>
      </c>
      <c r="C7" s="3" t="inlineStr">
        <is>
          <t>Business model: hosted service, support subscriptions, enterprise add-ons? Is any feature non-OSS?</t>
        </is>
      </c>
      <c r="D7" s="3" t="inlineStr">
        <is>
          <t>Fully Apache-2.0 core; revenue from hosted, support, and validation packs/LTS</t>
        </is>
      </c>
      <c r="E7" s="3" t="inlineStr">
        <is>
          <t>Product owner</t>
        </is>
      </c>
      <c r="F7" s="3" t="inlineStr">
        <is>
          <t>M7</t>
        </is>
      </c>
      <c r="G7" s="3" t="inlineStr"/>
    </row>
    <row r="8">
      <c r="A8" s="3" t="inlineStr">
        <is>
          <t>22-UNKNOWNS-ASSUMPTIONS-AND-OPEN-QUESTIONS.md</t>
        </is>
      </c>
      <c r="B8" s="3" t="inlineStr">
        <is>
          <t>OQ-07</t>
        </is>
      </c>
      <c r="C8" s="3" t="inlineStr">
        <is>
          <t>Which chat/collaboration platform integration ships first after GA (Slack, Teams, Google Chat, Mattermost…), or is it purely customer-driven?</t>
        </is>
      </c>
      <c r="D8" s="3" t="inlineStr">
        <is>
          <t>Customer-driven demand gate; contract designed now (13 §4)</t>
        </is>
      </c>
      <c r="E8" s="3" t="inlineStr">
        <is>
          <t>Product owner</t>
        </is>
      </c>
      <c r="F8" s="3" t="inlineStr">
        <is>
          <t>M8</t>
        </is>
      </c>
      <c r="G8" s="3" t="inlineStr"/>
    </row>
    <row r="9">
      <c r="A9" s="3" t="inlineStr">
        <is>
          <t>22-UNKNOWNS-ASSUMPTIONS-AND-OPEN-QUESTIONS.md</t>
        </is>
      </c>
      <c r="B9" s="3" t="inlineStr">
        <is>
          <t>OQ-08</t>
        </is>
      </c>
      <c r="C9" s="3" t="inlineStr">
        <is>
          <t>Offline/mobile native apps ever?</t>
        </is>
      </c>
      <c r="D9" s="3" t="inlineStr">
        <is>
          <t>PWA only through GA; revisit with usage data</t>
        </is>
      </c>
      <c r="E9" s="3" t="inlineStr">
        <is>
          <t>Product</t>
        </is>
      </c>
      <c r="F9" s="3" t="inlineStr">
        <is>
          <t>M10</t>
        </is>
      </c>
      <c r="G9" s="3" t="inlineStr"/>
    </row>
    <row r="10">
      <c r="A10" s="3" t="inlineStr">
        <is>
          <t>22-UNKNOWNS-ASSUMPTIONS-AND-OPEN-QUESTIONS.md</t>
        </is>
      </c>
      <c r="B10" s="3" t="inlineStr">
        <is>
          <t>OQ-09</t>
        </is>
      </c>
      <c r="C10" s="3" t="inlineStr">
        <is>
          <t>GA UI languages beyond English?</t>
        </is>
      </c>
      <c r="D10" s="3" t="inlineStr">
        <is>
          <t>English + Hindi + one EU language (German or French), chosen from the pilot pipeline</t>
        </is>
      </c>
      <c r="E10" s="3" t="inlineStr">
        <is>
          <t>Product</t>
        </is>
      </c>
      <c r="F10" s="3" t="inlineStr">
        <is>
          <t>M8</t>
        </is>
      </c>
      <c r="G10" s="3" t="inlineStr"/>
    </row>
    <row r="11">
      <c r="A11" s="3" t="inlineStr">
        <is>
          <t>22-UNKNOWNS-ASSUMPTIONS-AND-OPEN-QUESTIONS.md</t>
        </is>
      </c>
      <c r="B11" s="3" t="inlineStr">
        <is>
          <t>OQ-10</t>
        </is>
      </c>
      <c r="C11" s="3" t="inlineStr">
        <is>
          <t>Should e-sign target legal-grade use in India (Aadhaar eSign via ESP) at GA?</t>
        </is>
      </c>
      <c r="D11" s="3" t="inlineStr">
        <is>
          <t>No. Ship SES/AES-style with a strong evidence certificate; Aadhaar/QES providers in M12</t>
        </is>
      </c>
      <c r="E11" s="3" t="inlineStr">
        <is>
          <t>Product + Legal</t>
        </is>
      </c>
      <c r="F11" s="3" t="inlineStr">
        <is>
          <t>M8</t>
        </is>
      </c>
      <c r="G11" s="3" t="inlineStr"/>
    </row>
    <row r="12">
      <c r="A12" s="3" t="inlineStr">
        <is>
          <t>22-UNKNOWNS-ASSUMPTIONS-AND-OPEN-QUESTIONS.md</t>
        </is>
      </c>
      <c r="B12" s="3" t="inlineStr">
        <is>
          <t>OQ-11</t>
        </is>
      </c>
      <c r="C12" s="3" t="inlineStr">
        <is>
          <t>Pricing anchor for hosted (per author vs per member)?</t>
        </is>
      </c>
      <c r="D12" s="3" t="inlineStr">
        <is>
          <t>Free unlimited readers/attesters/requesters; charge per "maker" seat + workspace tier</t>
        </is>
      </c>
      <c r="E12" s="3" t="inlineStr">
        <is>
          <t>Product owner</t>
        </is>
      </c>
      <c r="F12" s="3" t="inlineStr">
        <is>
          <t>M10</t>
        </is>
      </c>
      <c r="G12" s="3" t="inlineStr"/>
    </row>
    <row r="13">
      <c r="A13" s="3" t="inlineStr">
        <is>
          <t>22-UNKNOWNS-ASSUMPTIONS-AND-OPEN-QUESTIONS.md</t>
        </is>
      </c>
      <c r="B13" s="3" t="inlineStr">
        <is>
          <t>OQ-12</t>
        </is>
      </c>
      <c r="C13" s="3" t="inlineStr">
        <is>
          <t>Admin full visibility vs confidential HR/whistleblower cases.** Must admins always see everything?</t>
        </is>
      </c>
      <c r="D13" s="3" t="inlineStr">
        <is>
          <t>Default: admins see everything, with access-logging. Cases flagged *restricted* need an audited admin self-grant that the case team sees. Separation mode removes admin content access entirely.</t>
        </is>
      </c>
      <c r="E13" s="3" t="inlineStr">
        <is>
          <t>Product owner (you)</t>
        </is>
      </c>
      <c r="F13" s="3" t="inlineStr">
        <is>
          <t>M3</t>
        </is>
      </c>
      <c r="G13" s="3" t="inlineStr"/>
    </row>
    <row r="14">
      <c r="A14" s="3" t="inlineStr">
        <is>
          <t>22-UNKNOWNS-ASSUMPTIONS-AND-OPEN-QUESTIONS.md</t>
        </is>
      </c>
      <c r="B14" s="3" t="inlineStr">
        <is>
          <t>OQ-13</t>
        </is>
      </c>
      <c r="C14" s="3" t="inlineStr">
        <is>
          <t>Is a public/anonymous intake (whistleblowing, public forms) in GA scope?</t>
        </is>
      </c>
      <c r="D14" s="3" t="inlineStr">
        <is>
          <t>Public forms P1 (M8); anonymous two-way whistleblowing P2</t>
        </is>
      </c>
      <c r="E14" s="3" t="inlineStr">
        <is>
          <t>Product</t>
        </is>
      </c>
      <c r="F14" s="3" t="inlineStr">
        <is>
          <t>M8</t>
        </is>
      </c>
      <c r="G14" s="3" t="inlineStr"/>
    </row>
    <row r="15">
      <c r="A15" s="3" t="inlineStr">
        <is>
          <t>22-UNKNOWNS-ASSUMPTIONS-AND-OPEN-QUESTIONS.md</t>
        </is>
      </c>
      <c r="B15" s="3" t="inlineStr">
        <is>
          <t>OQ-14</t>
        </is>
      </c>
      <c r="C15" s="3" t="inlineStr">
        <is>
          <t>Who curates the global template gallery long-term (in-house SMEs, community, partners)?</t>
        </is>
      </c>
      <c r="D15" s="3" t="inlineStr">
        <is>
          <t>In-house for Waves 1–2; community contributions with review from Wave 3</t>
        </is>
      </c>
      <c r="E15" s="3" t="inlineStr">
        <is>
          <t>Product</t>
        </is>
      </c>
      <c r="F15" s="3" t="inlineStr">
        <is>
          <t>M6</t>
        </is>
      </c>
      <c r="G15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50" customWidth="1" min="3" max="3"/>
    <col width="40" customWidth="1" min="4" max="4"/>
    <col width="50" customWidth="1" min="5" max="5"/>
    <col width="1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Unknown</t>
        </is>
      </c>
      <c r="D1" s="2" t="inlineStr">
        <is>
          <t>Why it matters</t>
        </is>
      </c>
      <c r="E1" s="2" t="inlineStr">
        <is>
          <t>Resolution</t>
        </is>
      </c>
      <c r="F1" s="2" t="inlineStr">
        <is>
          <t>Decide by</t>
        </is>
      </c>
    </row>
    <row r="2">
      <c r="A2" s="3" t="inlineStr">
        <is>
          <t>22-UNKNOWNS-ASSUMPTIONS-AND-OPEN-QUESTIONS.md</t>
        </is>
      </c>
      <c r="B2" s="3" t="inlineStr">
        <is>
          <t>U-01</t>
        </is>
      </c>
      <c r="C2" s="3" t="inlineStr">
        <is>
          <t>Native interpreter vs Temporal vs Operaton adapter</t>
        </is>
      </c>
      <c r="D2" s="3" t="inlineStr">
        <is>
          <t>Core runtime architecture</t>
        </is>
      </c>
      <c r="E2" s="3" t="inlineStr">
        <is>
          <t>SP-01…SP-06 + ops-cost comparison → ADR-0015</t>
        </is>
      </c>
      <c r="F2" s="3" t="inlineStr">
        <is>
          <t>G1 (M1)</t>
        </is>
      </c>
    </row>
    <row r="3">
      <c r="A3" s="3" t="inlineStr">
        <is>
          <t>22-UNKNOWNS-ASSUMPTIONS-AND-OPEN-QUESTIONS.md</t>
        </is>
      </c>
      <c r="B3" s="3" t="inlineStr">
        <is>
          <t>U-02</t>
        </is>
      </c>
      <c r="C3" s="3" t="inlineStr">
        <is>
          <t>FEEL subset (dsntk) vs CEL: typing, WASM build for browser, TCK coverage</t>
        </is>
      </c>
      <c r="D3" s="3" t="inlineStr">
        <is>
          <t>Expression language is stored in every definition</t>
        </is>
      </c>
      <c r="E3" s="3" t="inlineStr">
        <is>
          <t>SP-08 → ADR-0010</t>
        </is>
      </c>
      <c r="F3" s="3" t="inlineStr">
        <is>
          <t>G1</t>
        </is>
      </c>
    </row>
    <row r="4">
      <c r="A4" s="3" t="inlineStr">
        <is>
          <t>22-UNKNOWNS-ASSUMPTIONS-AND-OPEN-QUESTIONS.md</t>
        </is>
      </c>
      <c r="B4" s="3" t="inlineStr">
        <is>
          <t>U-03</t>
        </is>
      </c>
      <c r="C4" s="3" t="inlineStr">
        <is>
          <t>Cedar partial evaluation maturity for list filters</t>
        </is>
      </c>
      <c r="D4" s="3" t="inlineStr">
        <is>
          <t>List performance and correctness of scoped admins</t>
        </is>
      </c>
      <c r="E4" s="3" t="inlineStr">
        <is>
          <t>SP-09; fall back to hand-compiled scope predicates</t>
        </is>
      </c>
      <c r="F4" s="3" t="inlineStr">
        <is>
          <t>G1</t>
        </is>
      </c>
    </row>
    <row r="5">
      <c r="A5" s="3" t="inlineStr">
        <is>
          <t>22-UNKNOWNS-ASSUMPTIONS-AND-OPEN-QUESTIONS.md</t>
        </is>
      </c>
      <c r="B5" s="3" t="inlineStr">
        <is>
          <t>U-04</t>
        </is>
      </c>
      <c r="C5" s="3" t="inlineStr">
        <is>
          <t>Audit chain append contention at high data-access volume</t>
        </is>
      </c>
      <c r="D5" s="3" t="inlineStr">
        <is>
          <t>Hot read paths must not serialise</t>
        </is>
      </c>
      <c r="E5" s="3" t="inlineStr">
        <is>
          <t>SP-10 (batched sealer)</t>
        </is>
      </c>
      <c r="F5" s="3" t="inlineStr">
        <is>
          <t>G1</t>
        </is>
      </c>
    </row>
    <row r="6">
      <c r="A6" s="3" t="inlineStr">
        <is>
          <t>22-UNKNOWNS-ASSUMPTIONS-AND-OPEN-QUESTIONS.md</t>
        </is>
      </c>
      <c r="B6" s="3" t="inlineStr">
        <is>
          <t>U-05</t>
        </is>
      </c>
      <c r="C6" s="3" t="inlineStr">
        <is>
          <t>Postgres-only bus throughput ceiling</t>
        </is>
      </c>
      <c r="D6" s="3" t="inlineStr">
        <is>
          <t>When NATS/Kafka becomes necessary</t>
        </is>
      </c>
      <c r="E6" s="3" t="inlineStr">
        <is>
          <t>SP-01 metrics; document a threshold</t>
        </is>
      </c>
      <c r="F6" s="3" t="inlineStr">
        <is>
          <t>M5</t>
        </is>
      </c>
    </row>
    <row r="7">
      <c r="A7" s="3" t="inlineStr">
        <is>
          <t>22-UNKNOWNS-ASSUMPTIONS-AND-OPEN-QUESTIONS.md</t>
        </is>
      </c>
      <c r="B7" s="3" t="inlineStr">
        <is>
          <t>U-06</t>
        </is>
      </c>
      <c r="C7" s="3" t="inlineStr">
        <is>
          <t>Temporal Rust SDK worker-versioning support</t>
        </is>
      </c>
      <c r="D7" s="3" t="inlineStr">
        <is>
          <t>Only matters if Temporal wins U-01</t>
        </is>
      </c>
      <c r="E7" s="3" t="inlineStr">
        <is>
          <t>Vendor docs / spike</t>
        </is>
      </c>
      <c r="F7" s="3" t="inlineStr">
        <is>
          <t>G1</t>
        </is>
      </c>
    </row>
    <row r="8">
      <c r="A8" s="3" t="inlineStr">
        <is>
          <t>22-UNKNOWNS-ASSUMPTIONS-AND-OPEN-QUESTIONS.md</t>
        </is>
      </c>
      <c r="B8" s="3" t="inlineStr">
        <is>
          <t>U-07</t>
        </is>
      </c>
      <c r="C8" s="3" t="inlineStr">
        <is>
          <t>PDF stamping / PAdES library choice in Rust (licence-clean)</t>
        </is>
      </c>
      <c r="D8" s="3" t="inlineStr">
        <is>
          <t>E-sign finalisation</t>
        </is>
      </c>
      <c r="E8" s="3" t="inlineStr">
        <is>
          <t>Research spike in M5 (lopdf/pdf-writer + signing crate vs sandboxed external tool)</t>
        </is>
      </c>
      <c r="F8" s="3" t="inlineStr">
        <is>
          <t>M5</t>
        </is>
      </c>
    </row>
    <row r="9">
      <c r="A9" s="3" t="inlineStr">
        <is>
          <t>22-UNKNOWNS-ASSUMPTIONS-AND-OPEN-QUESTIONS.md</t>
        </is>
      </c>
      <c r="B9" s="3" t="inlineStr">
        <is>
          <t>U-08</t>
        </is>
      </c>
      <c r="C9" s="3" t="inlineStr">
        <is>
          <t>DOCX→PDF conversion engine (LibreOffice headless = MPL, heavy; OpenDoc engine; others)</t>
        </is>
      </c>
      <c r="D9" s="3" t="inlineStr">
        <is>
          <t>Previews, DOCX e-sign</t>
        </is>
      </c>
      <c r="E9" s="3" t="inlineStr">
        <is>
          <t>Spike in M4; sandbox mandatory</t>
        </is>
      </c>
      <c r="F9" s="3" t="inlineStr">
        <is>
          <t>M4</t>
        </is>
      </c>
    </row>
    <row r="10">
      <c r="A10" s="3" t="inlineStr">
        <is>
          <t>22-UNKNOWNS-ASSUMPTIONS-AND-OPEN-QUESTIONS.md</t>
        </is>
      </c>
      <c r="B10" s="3" t="inlineStr">
        <is>
          <t>U-09</t>
        </is>
      </c>
      <c r="C10" s="3" t="inlineStr">
        <is>
          <t>Object Lock support in SeaweedFS/RustFS</t>
        </is>
      </c>
      <c r="D10" s="3" t="inlineStr">
        <is>
          <t>WORM audit export (AUD-04)</t>
        </is>
      </c>
      <c r="E10" s="3" t="inlineStr">
        <is>
          <t>Test in M9; else document "use AWS/compatible store"</t>
        </is>
      </c>
      <c r="F10" s="3" t="inlineStr">
        <is>
          <t>M9</t>
        </is>
      </c>
    </row>
    <row r="11">
      <c r="A11" s="3" t="inlineStr">
        <is>
          <t>22-UNKNOWNS-ASSUMPTIONS-AND-OPEN-QUESTIONS.md</t>
        </is>
      </c>
      <c r="B11" s="3" t="inlineStr">
        <is>
          <t>U-10</t>
        </is>
      </c>
      <c r="C11" s="3" t="inlineStr">
        <is>
          <t>Block editor library for SOP/policy (licence, a11y, collaborative-ready)</t>
        </is>
      </c>
      <c r="D11" s="3" t="inlineStr">
        <is>
          <t>Core authoring UX</t>
        </is>
      </c>
      <c r="E11" s="3" t="inlineStr">
        <is>
          <t>Evaluate in M1 (TipTap core MIT / ProseMirror MIT / Lexical MIT)</t>
        </is>
      </c>
      <c r="F11" s="3" t="inlineStr">
        <is>
          <t>M1</t>
        </is>
      </c>
    </row>
    <row r="12">
      <c r="A12" s="3" t="inlineStr">
        <is>
          <t>22-UNKNOWNS-ASSUMPTIONS-AND-OPEN-QUESTIONS.md</t>
        </is>
      </c>
      <c r="B12" s="3" t="inlineStr">
        <is>
          <t>U-11</t>
        </is>
      </c>
      <c r="C12" s="3" t="inlineStr">
        <is>
          <t>PDF field-placement editor (render with pdf.js Apache-2.0 + own overlay)</t>
        </is>
      </c>
      <c r="D12" s="3" t="inlineStr">
        <is>
          <t>E-sign UX</t>
        </is>
      </c>
      <c r="E12" s="3" t="inlineStr">
        <is>
          <t>Prototype in M4</t>
        </is>
      </c>
      <c r="F12" s="3" t="inlineStr">
        <is>
          <t>M4</t>
        </is>
      </c>
    </row>
    <row r="13">
      <c r="A13" s="3" t="inlineStr">
        <is>
          <t>22-UNKNOWNS-ASSUMPTIONS-AND-OPEN-QUESTIONS.md</t>
        </is>
      </c>
      <c r="B13" s="3" t="inlineStr">
        <is>
          <t>U-12</t>
        </is>
      </c>
      <c r="C13" s="3" t="inlineStr">
        <is>
          <t>Real-time collaboration on drafts (co-editing) needed?</t>
        </is>
      </c>
      <c r="D13" s="3" t="inlineStr">
        <is>
          <t>Big architecture impact if yes</t>
        </is>
      </c>
      <c r="E13" s="3" t="inlineStr">
        <is>
          <t>Assume **no** for GA (locking + comments); revisit at M7</t>
        </is>
      </c>
      <c r="F13" s="3" t="inlineStr">
        <is>
          <t>M7</t>
        </is>
      </c>
    </row>
    <row r="14">
      <c r="A14" s="3" t="inlineStr">
        <is>
          <t>22-UNKNOWNS-ASSUMPTIONS-AND-OPEN-QUESTIONS.md</t>
        </is>
      </c>
      <c r="B14" s="3" t="inlineStr">
        <is>
          <t>U-13</t>
        </is>
      </c>
      <c r="C14" s="3" t="inlineStr">
        <is>
          <t>APQC PCF exact licence text</t>
        </is>
      </c>
      <c r="D14" s="3" t="inlineStr">
        <is>
          <t>Template taxonomy attribution</t>
        </is>
      </c>
      <c r="E14" s="3" t="inlineStr">
        <is>
          <t>Legal review</t>
        </is>
      </c>
      <c r="F14" s="3" t="inlineStr">
        <is>
          <t>M3</t>
        </is>
      </c>
    </row>
    <row r="15">
      <c r="A15" s="3" t="inlineStr">
        <is>
          <t>22-UNKNOWNS-ASSUMPTIONS-AND-OPEN-QUESTIONS.md</t>
        </is>
      </c>
      <c r="B15" s="3" t="inlineStr">
        <is>
          <t>U-14</t>
        </is>
      </c>
      <c r="C15" s="3" t="inlineStr">
        <is>
          <t>Email deliverability for self-hosters (SPF/DKIM/DMARC guidance, bounce handling)</t>
        </is>
      </c>
      <c r="D15" s="3" t="inlineStr">
        <is>
          <t>Notifications are core in standalone mode</t>
        </is>
      </c>
      <c r="E15" s="3" t="inlineStr">
        <is>
          <t>Admin guide + bounce webhook support for common relays</t>
        </is>
      </c>
      <c r="F15" s="3" t="inlineStr">
        <is>
          <t>M6</t>
        </is>
      </c>
    </row>
    <row r="16">
      <c r="A16" s="3" t="inlineStr">
        <is>
          <t>22-UNKNOWNS-ASSUMPTIONS-AND-OPEN-QUESTIONS.md</t>
        </is>
      </c>
      <c r="B16" s="3" t="inlineStr">
        <is>
          <t>U-16</t>
        </is>
      </c>
      <c r="C16" s="3" t="inlineStr">
        <is>
          <t>Brand assets are raster concept extractions; production vector masters and a small-size symbol are needed</t>
        </is>
      </c>
      <c r="D16" s="3" t="inlineStr">
        <is>
          <t>Logo/favicon quality, print, app icons</t>
        </is>
      </c>
      <c r="E16" s="3" t="inlineStr">
        <is>
          <t>Commission or produce SVG masters (BPMS-034); re-export icon and favicon sets</t>
        </is>
      </c>
      <c r="F16" s="3" t="inlineStr">
        <is>
          <t>R1</t>
        </is>
      </c>
    </row>
    <row r="17">
      <c r="A17" s="3" t="inlineStr">
        <is>
          <t>22-UNKNOWNS-ASSUMPTIONS-AND-OPEN-QUESTIONS.md</t>
        </is>
      </c>
      <c r="B17" s="3" t="inlineStr">
        <is>
          <t>U-15</t>
        </is>
      </c>
      <c r="C17" s="3" t="inlineStr">
        <is>
          <t>Browser support matrix</t>
        </is>
      </c>
      <c r="D17" s="3" t="inlineStr">
        <is>
          <t>QA cost</t>
        </is>
      </c>
      <c r="E17" s="3" t="inlineStr">
        <is>
          <t>Decide: last 2 versions of Chromium/Firefox/Safari; no IE/legacy Edge</t>
        </is>
      </c>
      <c r="F17" s="3" t="inlineStr">
        <is>
          <t>M1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60" customWidth="1" min="3" max="3"/>
    <col width="40" customWidth="1" min="4" max="4"/>
    <col width="40" customWidth="1" min="5" max="5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Assumption</t>
        </is>
      </c>
      <c r="D1" s="2" t="inlineStr">
        <is>
          <t>Check</t>
        </is>
      </c>
      <c r="E1" s="2" t="inlineStr">
        <is>
          <t>If false</t>
        </is>
      </c>
    </row>
    <row r="2">
      <c r="A2" s="3" t="inlineStr">
        <is>
          <t>22-UNKNOWNS-ASSUMPTIONS-AND-OPEN-QUESTIONS.md</t>
        </is>
      </c>
      <c r="B2" s="3" t="inlineStr">
        <is>
          <t>A-01</t>
        </is>
      </c>
      <c r="C2" s="3" t="inlineStr">
        <is>
          <t>Customers can provide PostgreSQL 16+, an S3-compatible store and SMTP</t>
        </is>
      </c>
      <c r="D2" s="3" t="inlineStr">
        <is>
          <t>Interviews (M0), install telemetry (opt-in)</t>
        </is>
      </c>
      <c r="E2" s="3" t="inlineStr">
        <is>
          <t>Ship bundled defaults in Compose (already planned)</t>
        </is>
      </c>
    </row>
    <row r="3">
      <c r="A3" s="3" t="inlineStr">
        <is>
          <t>22-UNKNOWNS-ASSUMPTIONS-AND-OPEN-QUESTIONS.md</t>
        </is>
      </c>
      <c r="B3" s="3" t="inlineStr">
        <is>
          <t>A-02</t>
        </is>
      </c>
      <c r="C3" s="3" t="inlineStr">
        <is>
          <t>A step builder covers ≥ 90 % of the processes buyers want to automate</t>
        </is>
      </c>
      <c r="D3" s="3" t="inlineStr">
        <is>
          <t>Model the 5 reference processes + 13 Wave-1 templates in IR</t>
        </is>
      </c>
      <c r="E3" s="3" t="inlineStr">
        <is>
          <t>Extend IR before M5</t>
        </is>
      </c>
    </row>
    <row r="4">
      <c r="A4" s="3" t="inlineStr">
        <is>
          <t>22-UNKNOWNS-ASSUMPTIONS-AND-OPEN-QUESTIONS.md</t>
        </is>
      </c>
      <c r="B4" s="3" t="inlineStr">
        <is>
          <t>A-03</t>
        </is>
      </c>
      <c r="C4" s="3" t="inlineStr">
        <is>
          <t>Pinning plus cancel-and-restart is acceptable in place of instance migration until P2</t>
        </is>
      </c>
      <c r="D4" s="3" t="inlineStr">
        <is>
          <t>Pilot feedback</t>
        </is>
      </c>
      <c r="E4" s="3" t="inlineStr">
        <is>
          <t>Pull the migration tool forward</t>
        </is>
      </c>
    </row>
    <row r="5">
      <c r="A5" s="3" t="inlineStr">
        <is>
          <t>22-UNKNOWNS-ASSUMPTIONS-AND-OPEN-QUESTIONS.md</t>
        </is>
      </c>
      <c r="B5" s="3" t="inlineStr">
        <is>
          <t>A-04</t>
        </is>
      </c>
      <c r="C5" s="3" t="inlineStr">
        <is>
          <t>Locking plus comments are enough for co-authoring drafts (no real-time co-edit)</t>
        </is>
      </c>
      <c r="D5" s="3" t="inlineStr">
        <is>
          <t>Pilot feedback</t>
        </is>
      </c>
      <c r="E5" s="3" t="inlineStr">
        <is>
          <t>U-12</t>
        </is>
      </c>
    </row>
    <row r="6">
      <c r="A6" s="3" t="inlineStr">
        <is>
          <t>22-UNKNOWNS-ASSUMPTIONS-AND-OPEN-QUESTIONS.md</t>
        </is>
      </c>
      <c r="B6" s="3" t="inlineStr">
        <is>
          <t>A-05</t>
        </is>
      </c>
      <c r="C6" s="3" t="inlineStr">
        <is>
          <t>Workspace admins seeing all content is acceptable to most buyers (with Separation mode for the rest)</t>
        </is>
      </c>
      <c r="D6" s="3" t="inlineStr">
        <is>
          <t>Interviews with HR/compliance</t>
        </is>
      </c>
      <c r="E6" s="3" t="inlineStr">
        <is>
          <t>OQ-12</t>
        </is>
      </c>
    </row>
    <row r="7">
      <c r="A7" s="3" t="inlineStr">
        <is>
          <t>22-UNKNOWNS-ASSUMPTIONS-AND-OPEN-QUESTIONS.md</t>
        </is>
      </c>
      <c r="B7" s="3" t="inlineStr">
        <is>
          <t>A-06</t>
        </is>
      </c>
      <c r="C7" s="3" t="inlineStr">
        <is>
          <t>One campaign engine covers acks, quizzes, signatures and attestations</t>
        </is>
      </c>
      <c r="D7" s="3" t="inlineStr">
        <is>
          <t>Design review at M3</t>
        </is>
      </c>
      <c r="E7" s="3" t="inlineStr">
        <is>
          <t>Split envelope engine</t>
        </is>
      </c>
    </row>
    <row r="8">
      <c r="A8" s="3" t="inlineStr">
        <is>
          <t>22-UNKNOWNS-ASSUMPTIONS-AND-OPEN-QUESTIONS.md</t>
        </is>
      </c>
      <c r="B8" s="3" t="inlineStr">
        <is>
          <t>A-07</t>
        </is>
      </c>
      <c r="C8" s="3" t="inlineStr">
        <is>
          <t>SES/AES-style signatures with a certificate of completion meet most enterprise HR/policy needs</t>
        </is>
      </c>
      <c r="D8" s="3" t="inlineStr">
        <is>
          <t>Legal review per launch market</t>
        </is>
      </c>
      <c r="E8" s="3" t="inlineStr">
        <is>
          <t>QES/Aadhaar providers earlier</t>
        </is>
      </c>
    </row>
    <row r="9">
      <c r="A9" s="3" t="inlineStr">
        <is>
          <t>22-UNKNOWNS-ASSUMPTIONS-AND-OPEN-QUESTIONS.md</t>
        </is>
      </c>
      <c r="B9" s="3" t="inlineStr">
        <is>
          <t>A-08</t>
        </is>
      </c>
      <c r="C9" s="3" t="inlineStr">
        <is>
          <t>The AI-assisted team (~8–9 people + agents, 07 §5) is available</t>
        </is>
      </c>
      <c r="D9" s="3" t="inlineStr">
        <is>
          <t>Hiring plan at P0</t>
        </is>
      </c>
      <c r="E9" s="3" t="inlineStr">
        <is>
          <t>Keep release order; stretch each release to 11–12 weeks</t>
        </is>
      </c>
    </row>
    <row r="10">
      <c r="A10" s="3" t="inlineStr">
        <is>
          <t>22-UNKNOWNS-ASSUMPTIONS-AND-OPEN-QUESTIONS.md</t>
        </is>
      </c>
      <c r="B10" s="3" t="inlineStr">
        <is>
          <t>A-11</t>
        </is>
      </c>
      <c r="C10" s="3" t="inlineStr">
        <is>
          <t>AI coding agents roughly double implementation throughput without lowering quality</t>
        </is>
      </c>
      <c r="D10" s="3" t="inlineStr">
        <is>
          <t>Measure cycle time and escaped defects per release (R1 baseline)</t>
        </is>
      </c>
      <c r="E10" s="3" t="inlineStr">
        <is>
          <t>Re-plan R3+ durations at the G-R1 review</t>
        </is>
      </c>
    </row>
    <row r="11">
      <c r="A11" s="3" t="inlineStr">
        <is>
          <t>22-UNKNOWNS-ASSUMPTIONS-AND-OPEN-QUESTIONS.md</t>
        </is>
      </c>
      <c r="B11" s="3" t="inlineStr">
        <is>
          <t>A-12</t>
        </is>
      </c>
      <c r="C11" s="3" t="inlineStr">
        <is>
          <t>Customers accept PostgreSQL as a hard requirement (no MariaDB)</t>
        </is>
      </c>
      <c r="D11" s="3" t="inlineStr">
        <is>
          <t>Interviews; install guide</t>
        </is>
      </c>
      <c r="E11" s="3" t="inlineStr">
        <is>
          <t>Offer the managed-Postgres guide; not negotiable (ADR-0002)</t>
        </is>
      </c>
    </row>
    <row r="12">
      <c r="A12" s="3" t="inlineStr">
        <is>
          <t>22-UNKNOWNS-ASSUMPTIONS-AND-OPEN-QUESTIONS.md</t>
        </is>
      </c>
      <c r="B12" s="3" t="inlineStr">
        <is>
          <t>A-09</t>
        </is>
      </c>
      <c r="C12" s="3" t="inlineStr">
        <is>
          <t>AI is optional and off by default; the product is complete without it</t>
        </is>
      </c>
      <c r="D12" s="3" t="inlineStr">
        <is>
          <t>Pilot</t>
        </is>
      </c>
      <c r="E12" s="3" t="inlineStr">
        <is>
          <t>—</t>
        </is>
      </c>
    </row>
    <row r="13">
      <c r="A13" s="3" t="inlineStr">
        <is>
          <t>22-UNKNOWNS-ASSUMPTIONS-AND-OPEN-QUESTIONS.md</t>
        </is>
      </c>
      <c r="B13" s="3" t="inlineStr">
        <is>
          <t>A-10</t>
        </is>
      </c>
      <c r="C13" s="3" t="inlineStr">
        <is>
          <t>3 UI languages at GA are enough</t>
        </is>
      </c>
      <c r="D13" s="3" t="inlineStr">
        <is>
          <t>Pipeline</t>
        </is>
      </c>
      <c r="E13" s="3" t="inlineStr">
        <is>
          <t>More locales post-GA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8" customWidth="1" min="4" max="4"/>
    <col width="16" customWidth="1" min="5" max="5"/>
    <col width="16" customWidth="1" min="6" max="6"/>
  </cols>
  <sheetData>
    <row r="1">
      <c r="A1" s="2" t="inlineStr">
        <is>
          <t>Activity</t>
        </is>
      </c>
      <c r="B1" s="2" t="inlineStr">
        <is>
          <t>Process Owner</t>
        </is>
      </c>
      <c r="C1" s="2" t="inlineStr">
        <is>
          <t>Designer</t>
        </is>
      </c>
      <c r="D1" s="2" t="inlineStr">
        <is>
          <t>Reviewer/Compliance</t>
        </is>
      </c>
      <c r="E1" s="2" t="inlineStr">
        <is>
          <t>Workspace Admin</t>
        </is>
      </c>
      <c r="F1" s="2" t="inlineStr">
        <is>
          <t>System Admin</t>
        </is>
      </c>
    </row>
    <row r="2">
      <c r="A2" s="3" t="inlineStr">
        <is>
          <t>Draft process/SOP/policy</t>
        </is>
      </c>
      <c r="B2" s="3" t="inlineStr">
        <is>
          <t>A</t>
        </is>
      </c>
      <c r="C2" s="3" t="inlineStr">
        <is>
          <t>R</t>
        </is>
      </c>
      <c r="D2" s="3" t="inlineStr">
        <is>
          <t>C</t>
        </is>
      </c>
      <c r="E2" s="3" t="inlineStr">
        <is>
          <t>I</t>
        </is>
      </c>
      <c r="F2" s="3" t="inlineStr">
        <is>
          <t>—</t>
        </is>
      </c>
    </row>
    <row r="3">
      <c r="A3" s="3" t="inlineStr">
        <is>
          <t>Approve controlled change</t>
        </is>
      </c>
      <c r="B3" s="3" t="inlineStr">
        <is>
          <t>C</t>
        </is>
      </c>
      <c r="C3" s="3" t="inlineStr">
        <is>
          <t>I</t>
        </is>
      </c>
      <c r="D3" s="3" t="inlineStr">
        <is>
          <t>A/R</t>
        </is>
      </c>
      <c r="E3" s="3" t="inlineStr">
        <is>
          <t>I</t>
        </is>
      </c>
      <c r="F3" s="3" t="inlineStr">
        <is>
          <t>—</t>
        </is>
      </c>
    </row>
    <row r="4">
      <c r="A4" s="3" t="inlineStr">
        <is>
          <t>Publish standard process</t>
        </is>
      </c>
      <c r="B4" s="3" t="inlineStr">
        <is>
          <t>A/R</t>
        </is>
      </c>
      <c r="C4" s="3" t="inlineStr">
        <is>
          <t>C</t>
        </is>
      </c>
      <c r="D4" s="3" t="inlineStr">
        <is>
          <t>C</t>
        </is>
      </c>
      <c r="E4" s="3" t="inlineStr">
        <is>
          <t>I</t>
        </is>
      </c>
      <c r="F4" s="3" t="inlineStr">
        <is>
          <t>—</t>
        </is>
      </c>
    </row>
    <row r="5">
      <c r="A5" s="3" t="inlineStr">
        <is>
          <t>Configure roles &amp; settings</t>
        </is>
      </c>
      <c r="B5" s="3" t="inlineStr">
        <is>
          <t>I</t>
        </is>
      </c>
      <c r="C5" s="3" t="inlineStr">
        <is>
          <t>—</t>
        </is>
      </c>
      <c r="D5" s="3" t="inlineStr">
        <is>
          <t>C</t>
        </is>
      </c>
      <c r="E5" s="3" t="inlineStr">
        <is>
          <t>A/R</t>
        </is>
      </c>
      <c r="F5" s="3" t="inlineStr">
        <is>
          <t>—</t>
        </is>
      </c>
    </row>
    <row r="6">
      <c r="A6" s="3" t="inlineStr">
        <is>
          <t>Install template</t>
        </is>
      </c>
      <c r="B6" s="3" t="inlineStr">
        <is>
          <t>A</t>
        </is>
      </c>
      <c r="C6" s="3" t="inlineStr">
        <is>
          <t>R</t>
        </is>
      </c>
      <c r="D6" s="3" t="inlineStr">
        <is>
          <t>C</t>
        </is>
      </c>
      <c r="E6" s="3" t="inlineStr">
        <is>
          <t>R</t>
        </is>
      </c>
      <c r="F6" s="3" t="inlineStr">
        <is>
          <t>—</t>
        </is>
      </c>
    </row>
    <row r="7">
      <c r="A7" s="3" t="inlineStr">
        <is>
          <t>Configure integration secret</t>
        </is>
      </c>
      <c r="B7" s="3" t="inlineStr">
        <is>
          <t>I</t>
        </is>
      </c>
      <c r="C7" s="3" t="inlineStr">
        <is>
          <t>C</t>
        </is>
      </c>
      <c r="D7" s="3" t="inlineStr">
        <is>
          <t>C</t>
        </is>
      </c>
      <c r="E7" s="3" t="inlineStr">
        <is>
          <t>A/R</t>
        </is>
      </c>
      <c r="F7" s="3" t="inlineStr">
        <is>
          <t>C (allowed list)</t>
        </is>
      </c>
    </row>
    <row r="8">
      <c r="A8" s="3" t="inlineStr">
        <is>
          <t>Run attestation campaign</t>
        </is>
      </c>
      <c r="B8" s="3" t="inlineStr">
        <is>
          <t>C</t>
        </is>
      </c>
      <c r="C8" s="3" t="inlineStr">
        <is>
          <t>—</t>
        </is>
      </c>
      <c r="D8" s="3" t="inlineStr">
        <is>
          <t>A/R</t>
        </is>
      </c>
      <c r="E8" s="3" t="inlineStr">
        <is>
          <t>R</t>
        </is>
      </c>
      <c r="F8" s="3" t="inlineStr">
        <is>
          <t>—</t>
        </is>
      </c>
    </row>
    <row r="9">
      <c r="A9" s="3" t="inlineStr">
        <is>
          <t>Investigate audit event</t>
        </is>
      </c>
      <c r="B9" s="3" t="inlineStr">
        <is>
          <t>I</t>
        </is>
      </c>
      <c r="C9" s="3" t="inlineStr">
        <is>
          <t>—</t>
        </is>
      </c>
      <c r="D9" s="3" t="inlineStr">
        <is>
          <t>A/R</t>
        </is>
      </c>
      <c r="E9" s="3" t="inlineStr">
        <is>
          <t>R</t>
        </is>
      </c>
      <c r="F9" s="3" t="inlineStr">
        <is>
          <t>—</t>
        </is>
      </c>
    </row>
    <row r="10">
      <c r="A10" s="3" t="inlineStr">
        <is>
          <t>Create/suspend workspace</t>
        </is>
      </c>
      <c r="B10" s="3" t="inlineStr">
        <is>
          <t>—</t>
        </is>
      </c>
      <c r="C10" s="3" t="inlineStr">
        <is>
          <t>—</t>
        </is>
      </c>
      <c r="D10" s="3" t="inlineStr">
        <is>
          <t>—</t>
        </is>
      </c>
      <c r="E10" s="3" t="inlineStr">
        <is>
          <t>I</t>
        </is>
      </c>
      <c r="F10" s="3" t="inlineStr">
        <is>
          <t>A/R</t>
        </is>
      </c>
    </row>
    <row r="11">
      <c r="A11" s="3" t="inlineStr">
        <is>
          <t>Approve break-glass</t>
        </is>
      </c>
      <c r="B11" s="3" t="inlineStr">
        <is>
          <t>—</t>
        </is>
      </c>
      <c r="C11" s="3" t="inlineStr">
        <is>
          <t>—</t>
        </is>
      </c>
      <c r="D11" s="3" t="inlineStr">
        <is>
          <t>C</t>
        </is>
      </c>
      <c r="E11" s="3" t="inlineStr">
        <is>
          <t>A</t>
        </is>
      </c>
      <c r="F11" s="3" t="inlineStr">
        <is>
          <t>R (requester)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Release</t>
        </is>
      </c>
      <c r="B1" s="4" t="inlineStr">
        <is>
          <t>Not started</t>
        </is>
      </c>
      <c r="C1" s="4" t="inlineStr">
        <is>
          <t>In progress</t>
        </is>
      </c>
      <c r="D1" s="4" t="inlineStr">
        <is>
          <t>Blocked</t>
        </is>
      </c>
      <c r="E1" s="4" t="inlineStr">
        <is>
          <t>In review</t>
        </is>
      </c>
      <c r="F1" s="4" t="inlineStr">
        <is>
          <t>Done</t>
        </is>
      </c>
      <c r="G1" s="4" t="inlineStr">
        <is>
          <t>Deferred</t>
        </is>
      </c>
      <c r="H1" s="4" t="inlineStr">
        <is>
          <t>Total</t>
        </is>
      </c>
    </row>
    <row r="2">
      <c r="A2" t="inlineStr">
        <is>
          <t>P0</t>
        </is>
      </c>
      <c r="B2">
        <f>COUNTIFS(Backlog!$E:$E,$A2,Backlog!$K:$K,"Not started")</f>
        <v/>
      </c>
      <c r="C2">
        <f>COUNTIFS(Backlog!$E:$E,$A2,Backlog!$K:$K,"In progress")</f>
        <v/>
      </c>
      <c r="D2">
        <f>COUNTIFS(Backlog!$E:$E,$A2,Backlog!$K:$K,"Blocked")</f>
        <v/>
      </c>
      <c r="E2">
        <f>COUNTIFS(Backlog!$E:$E,$A2,Backlog!$K:$K,"In review")</f>
        <v/>
      </c>
      <c r="F2">
        <f>COUNTIFS(Backlog!$E:$E,$A2,Backlog!$K:$K,"Done")</f>
        <v/>
      </c>
      <c r="G2">
        <f>COUNTIFS(Backlog!$E:$E,$A2,Backlog!$K:$K,"Deferred")</f>
        <v/>
      </c>
      <c r="H2">
        <f>COUNTIF(Backlog!$E:$E,$A2)</f>
        <v/>
      </c>
    </row>
    <row r="3">
      <c r="A3" t="inlineStr">
        <is>
          <t>R1</t>
        </is>
      </c>
      <c r="B3">
        <f>COUNTIFS(Backlog!$E:$E,$A3,Backlog!$K:$K,"Not started")</f>
        <v/>
      </c>
      <c r="C3">
        <f>COUNTIFS(Backlog!$E:$E,$A3,Backlog!$K:$K,"In progress")</f>
        <v/>
      </c>
      <c r="D3">
        <f>COUNTIFS(Backlog!$E:$E,$A3,Backlog!$K:$K,"Blocked")</f>
        <v/>
      </c>
      <c r="E3">
        <f>COUNTIFS(Backlog!$E:$E,$A3,Backlog!$K:$K,"In review")</f>
        <v/>
      </c>
      <c r="F3">
        <f>COUNTIFS(Backlog!$E:$E,$A3,Backlog!$K:$K,"Done")</f>
        <v/>
      </c>
      <c r="G3">
        <f>COUNTIFS(Backlog!$E:$E,$A3,Backlog!$K:$K,"Deferred")</f>
        <v/>
      </c>
      <c r="H3">
        <f>COUNTIF(Backlog!$E:$E,$A3)</f>
        <v/>
      </c>
    </row>
    <row r="4">
      <c r="A4" t="inlineStr">
        <is>
          <t>R2</t>
        </is>
      </c>
      <c r="B4">
        <f>COUNTIFS(Backlog!$E:$E,$A4,Backlog!$K:$K,"Not started")</f>
        <v/>
      </c>
      <c r="C4">
        <f>COUNTIFS(Backlog!$E:$E,$A4,Backlog!$K:$K,"In progress")</f>
        <v/>
      </c>
      <c r="D4">
        <f>COUNTIFS(Backlog!$E:$E,$A4,Backlog!$K:$K,"Blocked")</f>
        <v/>
      </c>
      <c r="E4">
        <f>COUNTIFS(Backlog!$E:$E,$A4,Backlog!$K:$K,"In review")</f>
        <v/>
      </c>
      <c r="F4">
        <f>COUNTIFS(Backlog!$E:$E,$A4,Backlog!$K:$K,"Done")</f>
        <v/>
      </c>
      <c r="G4">
        <f>COUNTIFS(Backlog!$E:$E,$A4,Backlog!$K:$K,"Deferred")</f>
        <v/>
      </c>
      <c r="H4">
        <f>COUNTIF(Backlog!$E:$E,$A4)</f>
        <v/>
      </c>
    </row>
    <row r="5">
      <c r="A5" t="inlineStr">
        <is>
          <t>R3</t>
        </is>
      </c>
      <c r="B5">
        <f>COUNTIFS(Backlog!$E:$E,$A5,Backlog!$K:$K,"Not started")</f>
        <v/>
      </c>
      <c r="C5">
        <f>COUNTIFS(Backlog!$E:$E,$A5,Backlog!$K:$K,"In progress")</f>
        <v/>
      </c>
      <c r="D5">
        <f>COUNTIFS(Backlog!$E:$E,$A5,Backlog!$K:$K,"Blocked")</f>
        <v/>
      </c>
      <c r="E5">
        <f>COUNTIFS(Backlog!$E:$E,$A5,Backlog!$K:$K,"In review")</f>
        <v/>
      </c>
      <c r="F5">
        <f>COUNTIFS(Backlog!$E:$E,$A5,Backlog!$K:$K,"Done")</f>
        <v/>
      </c>
      <c r="G5">
        <f>COUNTIFS(Backlog!$E:$E,$A5,Backlog!$K:$K,"Deferred")</f>
        <v/>
      </c>
      <c r="H5">
        <f>COUNTIF(Backlog!$E:$E,$A5)</f>
        <v/>
      </c>
    </row>
    <row r="6">
      <c r="A6" t="inlineStr">
        <is>
          <t>R4</t>
        </is>
      </c>
      <c r="B6">
        <f>COUNTIFS(Backlog!$E:$E,$A6,Backlog!$K:$K,"Not started")</f>
        <v/>
      </c>
      <c r="C6">
        <f>COUNTIFS(Backlog!$E:$E,$A6,Backlog!$K:$K,"In progress")</f>
        <v/>
      </c>
      <c r="D6">
        <f>COUNTIFS(Backlog!$E:$E,$A6,Backlog!$K:$K,"Blocked")</f>
        <v/>
      </c>
      <c r="E6">
        <f>COUNTIFS(Backlog!$E:$E,$A6,Backlog!$K:$K,"In review")</f>
        <v/>
      </c>
      <c r="F6">
        <f>COUNTIFS(Backlog!$E:$E,$A6,Backlog!$K:$K,"Done")</f>
        <v/>
      </c>
      <c r="G6">
        <f>COUNTIFS(Backlog!$E:$E,$A6,Backlog!$K:$K,"Deferred")</f>
        <v/>
      </c>
      <c r="H6">
        <f>COUNTIF(Backlog!$E:$E,$A6)</f>
        <v/>
      </c>
    </row>
    <row r="7">
      <c r="A7" t="inlineStr">
        <is>
          <t>R5</t>
        </is>
      </c>
      <c r="B7">
        <f>COUNTIFS(Backlog!$E:$E,$A7,Backlog!$K:$K,"Not started")</f>
        <v/>
      </c>
      <c r="C7">
        <f>COUNTIFS(Backlog!$E:$E,$A7,Backlog!$K:$K,"In progress")</f>
        <v/>
      </c>
      <c r="D7">
        <f>COUNTIFS(Backlog!$E:$E,$A7,Backlog!$K:$K,"Blocked")</f>
        <v/>
      </c>
      <c r="E7">
        <f>COUNTIFS(Backlog!$E:$E,$A7,Backlog!$K:$K,"In review")</f>
        <v/>
      </c>
      <c r="F7">
        <f>COUNTIFS(Backlog!$E:$E,$A7,Backlog!$K:$K,"Done")</f>
        <v/>
      </c>
      <c r="G7">
        <f>COUNTIFS(Backlog!$E:$E,$A7,Backlog!$K:$K,"Deferred")</f>
        <v/>
      </c>
      <c r="H7">
        <f>COUNTIF(Backlog!$E:$E,$A7)</f>
        <v/>
      </c>
    </row>
    <row r="8">
      <c r="A8" t="inlineStr">
        <is>
          <t>GA</t>
        </is>
      </c>
      <c r="B8">
        <f>COUNTIFS(Backlog!$E:$E,$A8,Backlog!$K:$K,"Not started")</f>
        <v/>
      </c>
      <c r="C8">
        <f>COUNTIFS(Backlog!$E:$E,$A8,Backlog!$K:$K,"In progress")</f>
        <v/>
      </c>
      <c r="D8">
        <f>COUNTIFS(Backlog!$E:$E,$A8,Backlog!$K:$K,"Blocked")</f>
        <v/>
      </c>
      <c r="E8">
        <f>COUNTIFS(Backlog!$E:$E,$A8,Backlog!$K:$K,"In review")</f>
        <v/>
      </c>
      <c r="F8">
        <f>COUNTIFS(Backlog!$E:$E,$A8,Backlog!$K:$K,"Done")</f>
        <v/>
      </c>
      <c r="G8">
        <f>COUNTIFS(Backlog!$E:$E,$A8,Backlog!$K:$K,"Deferred")</f>
        <v/>
      </c>
      <c r="H8">
        <f>COUNTIF(Backlog!$E:$E,$A8)</f>
        <v/>
      </c>
    </row>
    <row r="9">
      <c r="A9" t="inlineStr">
        <is>
          <t>POST</t>
        </is>
      </c>
      <c r="B9">
        <f>COUNTIFS(Backlog!$E:$E,$A9,Backlog!$K:$K,"Not started")</f>
        <v/>
      </c>
      <c r="C9">
        <f>COUNTIFS(Backlog!$E:$E,$A9,Backlog!$K:$K,"In progress")</f>
        <v/>
      </c>
      <c r="D9">
        <f>COUNTIFS(Backlog!$E:$E,$A9,Backlog!$K:$K,"Blocked")</f>
        <v/>
      </c>
      <c r="E9">
        <f>COUNTIFS(Backlog!$E:$E,$A9,Backlog!$K:$K,"In review")</f>
        <v/>
      </c>
      <c r="F9">
        <f>COUNTIFS(Backlog!$E:$E,$A9,Backlog!$K:$K,"Done")</f>
        <v/>
      </c>
      <c r="G9">
        <f>COUNTIFS(Backlog!$E:$E,$A9,Backlog!$K:$K,"Deferred")</f>
        <v/>
      </c>
      <c r="H9">
        <f>COUNTIF(Backlog!$E:$E,$A9)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2026-10-11T00:06:52Z</dcterms:created>
  <dcterms:modified xsi:type="dcterms:W3CDTF">2026-10-11T00:06:52Z</dcterms:modified>
</cp:coreProperties>
</file>