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10" headerRowCount="1">
  <autoFilter ref="A1:G10"/>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36" headerRowCount="1">
  <autoFilter ref="A1:P13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98" headerRowCount="1">
  <autoFilter ref="A1:E49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20" headerRowCount="1">
  <autoFilter ref="A1:G20"/>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51" headerRowCount="1">
  <autoFilter ref="A1:E5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HR</t>
        </is>
      </c>
      <c r="B7" s="3" t="inlineStr">
        <is>
          <t>HR time &amp; attendance (0.5)</t>
        </is>
      </c>
      <c r="C7" s="3" t="inlineStr">
        <is>
          <t>2027-07-05</t>
        </is>
      </c>
      <c r="D7" s="3" t="inlineStr">
        <is>
          <t>2027-08-27</t>
        </is>
      </c>
      <c r="E7" s="3" t="inlineStr">
        <is>
          <t>G-HR</t>
        </is>
      </c>
      <c r="F7" s="3" t="inlineStr">
        <is>
          <t>docs/25: locations + holidays, leave policies + ledger, leave requests, team calendar, shifts, attendance, regularization, month close (owner 2026-10-14)</t>
        </is>
      </c>
      <c r="G7" s="3" t="inlineStr">
        <is>
          <t>Not started</t>
        </is>
      </c>
    </row>
    <row r="8">
      <c r="A8" s="3" t="inlineStr">
        <is>
          <t>R5</t>
        </is>
      </c>
      <c r="B8" s="3" t="inlineStr">
        <is>
          <t>Cases &amp; Compliance</t>
        </is>
      </c>
      <c r="C8" s="3" t="inlineStr">
        <is>
          <t>2027-07-05</t>
        </is>
      </c>
      <c r="D8" s="3" t="inlineStr">
        <is>
          <t>2027-08-27</t>
        </is>
      </c>
      <c r="E8" s="3" t="inlineStr">
        <is>
          <t>G-R5</t>
        </is>
      </c>
      <c r="F8" s="3" t="inlineStr">
        <is>
          <t>Cases, investigations, legal hold, Part 11, reports, AI optional (old M9)</t>
        </is>
      </c>
      <c r="G8" s="3" t="inlineStr">
        <is>
          <t>Not started</t>
        </is>
      </c>
    </row>
    <row r="9">
      <c r="A9" s="3" t="inlineStr">
        <is>
          <t>GA</t>
        </is>
      </c>
      <c r="B9" s="3" t="inlineStr">
        <is>
          <t>1.0 hardening + release</t>
        </is>
      </c>
      <c r="C9" s="3" t="inlineStr">
        <is>
          <t>2027-08-30</t>
        </is>
      </c>
      <c r="D9" s="3" t="inlineStr">
        <is>
          <t>2027-10-15</t>
        </is>
      </c>
      <c r="E9" s="3" t="inlineStr">
        <is>
          <t>G4/G5</t>
        </is>
      </c>
      <c r="F9" s="3" t="inlineStr">
        <is>
          <t>Load/HA/DR, pentest, a11y/VPAT, i18n, docs, full E2E regression (old M10–M11)</t>
        </is>
      </c>
      <c r="G9" s="3" t="inlineStr">
        <is>
          <t>Not started</t>
        </is>
      </c>
    </row>
    <row r="10">
      <c r="A10" s="3" t="inlineStr">
        <is>
          <t>POST</t>
        </is>
      </c>
      <c r="B10" s="3" t="inlineStr">
        <is>
          <t>Post-GA expansion</t>
        </is>
      </c>
      <c r="C10" s="3" t="inlineStr">
        <is>
          <t>2027-10-18</t>
        </is>
      </c>
      <c r="D10" s="3" t="inlineStr">
        <is>
          <t>2028-03-31</t>
        </is>
      </c>
      <c r="E10" s="3" t="inlineStr">
        <is>
          <t>Demand</t>
        </is>
      </c>
      <c r="F10" s="3" t="inlineStr">
        <is>
          <t>Chat platforms, HRIS/ERP, QES/Aadhaar, BPMN/DMN, mining, AI agents (old M12+)</t>
        </is>
      </c>
      <c r="G10"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3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In progress</t>
        </is>
      </c>
      <c r="L88" s="3" t="inlineStr">
        <is>
          <t>Automated tests</t>
        </is>
      </c>
      <c r="M88" s="3" t="inlineStr"/>
      <c r="N88" s="3" t="inlineStr"/>
      <c r="O88" s="3" t="inlineStr"/>
      <c r="P88" s="3" t="inlineStr">
        <is>
          <t>OpenID Connect single sign-on (0.4, migration 0054, crate procera-sso): one provider per workspace (issuer checked through discovery, sealed client secret, trusted email domains), code + PKCE + nonce + one-time state, ID token verified against the provider JWKS, people matched by (issuer, sub) or the first time by a verified trusted-domain email of an active member, sessions amr sso(+mfa); Require SSO refuses non-SSO sessions except owners (break-glass); Sign in with SSO on the sign-in page; Admin › Single sign-on. E2E-R4-SSO-01..02, E2E-R4-UI-08, AUD-01. Remaining: JIT accounts, SAML broker, DNS domain proof, provider logout (docs/22 A-50).</t>
        </is>
      </c>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In progress</t>
        </is>
      </c>
      <c r="L93" s="3" t="inlineStr">
        <is>
          <t>Automated tests</t>
        </is>
      </c>
      <c r="M93" s="3" t="inlineStr"/>
      <c r="N93" s="3" t="inlineStr"/>
      <c r="O93" s="3" t="inlineStr"/>
      <c r="P93" s="3" t="inlineStr">
        <is>
          <t>Email-actionable approvals (0.4, migration 0053): plain approval steps email each candidate Approve/Reject links (single use, SHA-256 stored, due date or 7 days, every link of the step spent on use, workspace switch notify.email_actions.enabled); a signed-out confirm page shows the request, its open answers and who decides, never decides on GET, and decides once through the normal path (audit work.decided_by_email). E2E-R4-EA-01..02, E2E-R4-UI-07, AUD-01. Remaining: reply-by-email, web push.</t>
        </is>
      </c>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BPMS-222</t>
        </is>
      </c>
      <c r="B102" s="3" t="inlineStr">
        <is>
          <t>HR</t>
        </is>
      </c>
      <c r="C102" s="3" t="inlineStr">
        <is>
          <t>0.5 HR: work locations (IANA zone, work week), holiday calendars with optional holidays, iCal/CSV import; engine calendars follow them</t>
        </is>
      </c>
      <c r="D102" s="3" t="inlineStr">
        <is>
          <t>P1</t>
        </is>
      </c>
      <c r="E102" s="3" t="inlineStr">
        <is>
          <t>HR</t>
        </is>
      </c>
      <c r="F102" s="3" t="inlineStr">
        <is>
          <t>Fullstack</t>
        </is>
      </c>
      <c r="G102" s="3" t="inlineStr">
        <is>
          <t>docs/25 §2.1, HR-01</t>
        </is>
      </c>
      <c r="H102" s="3" t="inlineStr">
        <is>
          <t>Day counts follow location + holidays (E2E-R5-HR-01)</t>
        </is>
      </c>
      <c r="I102" s="3" t="inlineStr">
        <is>
          <t>M</t>
        </is>
      </c>
      <c r="J102" s="3" t="inlineStr">
        <is>
          <t>BPMS-083</t>
        </is>
      </c>
      <c r="K102" s="3" t="inlineStr">
        <is>
          <t>In progress</t>
        </is>
      </c>
      <c r="L102" s="3" t="inlineStr">
        <is>
          <t>Automated tests</t>
        </is>
      </c>
      <c r="M102" s="3" t="inlineStr"/>
      <c r="N102" s="3" t="inlineStr"/>
      <c r="O102" s="3" t="inlineStr"/>
      <c r="P102" s="3" t="inlineStr">
        <is>
          <t>Slice 1 (0.5, migration 0055, crate procera-hr): holiday calendars with optional holidays, CSV/iCal import, copy a year; work locations (IANA zone checked by Postgres, work week, day hours, calendar), archived only when empty; member HR records (employee no., type, location, start, probation); free-text profile locations become work locations (trigger); /me/holidays; leave day counting kernel (half days, sandwich rule, roster overrides; property tests); Admin › Holidays and locations. E2E-R5-HR-01, E2E-R5-UI-01, AUD-01. Remaining: engine business calendars from locations, Home holiday card, profile location picker.</t>
        </is>
      </c>
    </row>
    <row r="103">
      <c r="A103" s="3" t="inlineStr">
        <is>
          <t>BPMS-223</t>
        </is>
      </c>
      <c r="B103" s="3" t="inlineStr">
        <is>
          <t>HR</t>
        </is>
      </c>
      <c r="C103" s="3" t="inlineStr">
        <is>
          <t>0.5 HR: leave types, policies by audience, accrual and rollover jobs, balance ledger, audited adjustments</t>
        </is>
      </c>
      <c r="D103" s="3" t="inlineStr">
        <is>
          <t>P1</t>
        </is>
      </c>
      <c r="E103" s="3" t="inlineStr">
        <is>
          <t>HR</t>
        </is>
      </c>
      <c r="F103" s="3" t="inlineStr">
        <is>
          <t>Fullstack</t>
        </is>
      </c>
      <c r="G103" s="3" t="inlineStr">
        <is>
          <t>docs/25 §2.2, §3, HR-02/03</t>
        </is>
      </c>
      <c r="H103" s="3" t="inlineStr">
        <is>
          <t>Every balance explained by its ledger (E2E-R5-HR-02)</t>
        </is>
      </c>
      <c r="I103" s="3" t="inlineStr">
        <is>
          <t>L</t>
        </is>
      </c>
      <c r="J103" s="3" t="inlineStr">
        <is>
          <t>BPMS-222</t>
        </is>
      </c>
      <c r="K103" s="3" t="inlineStr">
        <is>
          <t>In progress</t>
        </is>
      </c>
      <c r="L103" s="3" t="inlineStr">
        <is>
          <t>Automated tests</t>
        </is>
      </c>
      <c r="M103" s="3" t="inlineStr"/>
      <c r="N103" s="3" t="inlineStr"/>
      <c r="O103" s="3" t="inlineStr"/>
      <c r="P103" s="3" t="inlineStr">
        <is>
          <t>Slice 2 (0.5, migration 0056): leave types (paid, limited, private, half days, notice, max in a row, note after N days, negative limit, sandwich rule, optional-holidays-only), policies by audience and priority with per-type rules (yearly days, up front or monthly, pro-rate, probation, carry-over cap and expiry), per-member assignment; an append-only ledger in half-days with idempotent top-up grants, year-end carry-over/lapse and carried-day expiry; audited adjustments (step-up); my balances with how each is calculated; HR balances grid; one-click common types + Standard policy; new time_off:* permissions and an HR Administrator role (backfilled). Real-Postgres ledger test; E2E-R5-HR-02, E2E-R5-UI-02, AUD-01, isolation. Remaining: a nightly accrual pass and reminders before carried days expire.</t>
        </is>
      </c>
    </row>
    <row r="104">
      <c r="A104" s="3" t="inlineStr">
        <is>
          <t>BPMS-224</t>
        </is>
      </c>
      <c r="B104" s="3" t="inlineStr">
        <is>
          <t>HR</t>
        </is>
      </c>
      <c r="C104" s="3" t="inlineStr">
        <is>
          <t>0.5 HR: leave requests on the engine (day counting, half days, hold/take/release, cancel after approval), Time off page</t>
        </is>
      </c>
      <c r="D104" s="3" t="inlineStr">
        <is>
          <t>P1</t>
        </is>
      </c>
      <c r="E104" s="3" t="inlineStr">
        <is>
          <t>HR</t>
        </is>
      </c>
      <c r="F104" s="3" t="inlineStr">
        <is>
          <t>Fullstack</t>
        </is>
      </c>
      <c r="G104" s="3" t="inlineStr">
        <is>
          <t>docs/25 §4, §7, HR-04</t>
        </is>
      </c>
      <c r="H104" s="3" t="inlineStr">
        <is>
          <t>Hold → taken → release round-trips (E2E-R5-HR-03)</t>
        </is>
      </c>
      <c r="I104" s="3" t="inlineStr">
        <is>
          <t>L</t>
        </is>
      </c>
      <c r="J104" s="3" t="inlineStr">
        <is>
          <t>BPMS-223</t>
        </is>
      </c>
      <c r="K104" s="3" t="inlineStr">
        <is>
          <t>In progress</t>
        </is>
      </c>
      <c r="L104" s="3" t="inlineStr">
        <is>
          <t>Automated tests</t>
        </is>
      </c>
      <c r="M104" s="3" t="inlineStr"/>
      <c r="N104" s="3" t="inlineStr"/>
      <c r="O104" s="3" t="inlineStr"/>
      <c r="P104" s="3" t="inlineStr">
        <is>
          <t>Slice 3 (0.5, migration 0057): request hooks in the requests service (check before start, follow status changes, same transaction); hr.leave-request takes text leave types (served as the workspace's types, or the original four) and half days; checks for type, policy, whole days, ranges, notice, days in a row, a note, overlaps, leave-year range and balance (field errors); a hold on start, re-hold on resubmission, taken on approval, released on rejection or cancellation; POST /time-off/quote; Request time off dialog with a live count and problems; My requests. E2E-R5-HR-03, E2E-R5-UI-03, AUD-01. Remaining: cancelling approved leave, HR step for long leave, team calendar (BPMS-225).</t>
        </is>
      </c>
    </row>
    <row r="105">
      <c r="A105" s="3" t="inlineStr">
        <is>
          <t>BPMS-225</t>
        </is>
      </c>
      <c r="B105" s="3" t="inlineStr">
        <is>
          <t>HR</t>
        </is>
      </c>
      <c r="C105" s="3" t="inlineStr">
        <is>
          <t>0.5 HR: team calendar (who's out, privacy) and org chart</t>
        </is>
      </c>
      <c r="D105" s="3" t="inlineStr">
        <is>
          <t>P1</t>
        </is>
      </c>
      <c r="E105" s="3" t="inlineStr">
        <is>
          <t>HR</t>
        </is>
      </c>
      <c r="F105" s="3" t="inlineStr">
        <is>
          <t>FE</t>
        </is>
      </c>
      <c r="G105" s="3" t="inlineStr">
        <is>
          <t>docs/25 §6, §8, HR-05</t>
        </is>
      </c>
      <c r="H105" s="3" t="inlineStr">
        <is>
          <t>Colleague sees Out, manager sees type (E2E-R5-HR-04)</t>
        </is>
      </c>
      <c r="I105" s="3" t="inlineStr">
        <is>
          <t>M</t>
        </is>
      </c>
      <c r="J105" s="3" t="inlineStr">
        <is>
          <t>BPMS-224</t>
        </is>
      </c>
      <c r="K105" s="3" t="inlineStr">
        <is>
          <t>Done</t>
        </is>
      </c>
      <c r="L105" s="3" t="inlineStr">
        <is>
          <t>Automated tests</t>
        </is>
      </c>
      <c r="M105" s="3" t="inlineStr"/>
      <c r="N105" s="3" t="inlineStr"/>
      <c r="O105" s="3" t="inlineStr"/>
      <c r="P105" s="3" t="inlineStr">
        <is>
          <t>0.5 scope shipped: GET /team-calendar (team, department, location, everyone for HR; ≤ 92 days) with holidays and work weeks per location; privacy by reporting line (the person, their manager chain and HR see type, days, pending and a link; colleagues see approved time off as Out); GET /org-chart with out-today; Team calendar month grid (sticky names, days off and holidays shaded, half days, pending striped, opens at today) and an Org chart tree with search; Time off area tabs. E2E-R5-HR-04, E2E-R5-UI-04, isolation.</t>
        </is>
      </c>
    </row>
    <row r="106">
      <c r="A106" s="3" t="inlineStr">
        <is>
          <t>BPMS-226</t>
        </is>
      </c>
      <c r="B106" s="3" t="inlineStr">
        <is>
          <t>HR</t>
        </is>
      </c>
      <c r="C106" s="3" t="inlineStr">
        <is>
          <t>0.5 HR: shift patterns and weekly rosters (draft, publish, notify), my schedule</t>
        </is>
      </c>
      <c r="D106" s="3" t="inlineStr">
        <is>
          <t>P1</t>
        </is>
      </c>
      <c r="E106" s="3" t="inlineStr">
        <is>
          <t>HR</t>
        </is>
      </c>
      <c r="F106" s="3" t="inlineStr">
        <is>
          <t>Fullstack</t>
        </is>
      </c>
      <c r="G106" s="3" t="inlineStr">
        <is>
          <t>docs/25 §2.5, HR-06</t>
        </is>
      </c>
      <c r="H106" s="3" t="inlineStr">
        <is>
          <t>Published roster notifies; rostered weekend is a working day (E2E-R5-HR-05)</t>
        </is>
      </c>
      <c r="I106" s="3" t="inlineStr">
        <is>
          <t>M</t>
        </is>
      </c>
      <c r="J106" s="3" t="inlineStr">
        <is>
          <t>BPMS-222</t>
        </is>
      </c>
      <c r="K106" s="3" t="inlineStr">
        <is>
          <t>Not started</t>
        </is>
      </c>
      <c r="L106" s="3" t="inlineStr">
        <is>
          <t>—</t>
        </is>
      </c>
      <c r="M106" s="3" t="inlineStr"/>
      <c r="N106" s="3" t="inlineStr"/>
      <c r="O106" s="3" t="inlineStr"/>
      <c r="P106" s="3" t="inlineStr"/>
    </row>
    <row r="107">
      <c r="A107" s="3" t="inlineStr">
        <is>
          <t>BPMS-227</t>
        </is>
      </c>
      <c r="B107" s="3" t="inlineStr">
        <is>
          <t>HR</t>
        </is>
      </c>
      <c r="C107" s="3" t="inlineStr">
        <is>
          <t>0.5 HR: attendance (clock in/out, punch import CSV/API), derived daily status</t>
        </is>
      </c>
      <c r="D107" s="3" t="inlineStr">
        <is>
          <t>P1</t>
        </is>
      </c>
      <c r="E107" s="3" t="inlineStr">
        <is>
          <t>HR</t>
        </is>
      </c>
      <c r="F107" s="3" t="inlineStr">
        <is>
          <t>Fullstack</t>
        </is>
      </c>
      <c r="G107" s="3" t="inlineStr">
        <is>
          <t>docs/25 §5, HR-07</t>
        </is>
      </c>
      <c r="H107" s="3" t="inlineStr">
        <is>
          <t>Status table-tested; late and missing punch (E2E-R5-HR-06)</t>
        </is>
      </c>
      <c r="I107" s="3" t="inlineStr">
        <is>
          <t>L</t>
        </is>
      </c>
      <c r="J107" s="3" t="inlineStr">
        <is>
          <t>BPMS-226</t>
        </is>
      </c>
      <c r="K107" s="3" t="inlineStr">
        <is>
          <t>Not started</t>
        </is>
      </c>
      <c r="L107" s="3" t="inlineStr">
        <is>
          <t>—</t>
        </is>
      </c>
      <c r="M107" s="3" t="inlineStr"/>
      <c r="N107" s="3" t="inlineStr"/>
      <c r="O107" s="3" t="inlineStr"/>
      <c r="P107" s="3" t="inlineStr"/>
    </row>
    <row r="108">
      <c r="A108" s="3" t="inlineStr">
        <is>
          <t>BPMS-228</t>
        </is>
      </c>
      <c r="B108" s="3" t="inlineStr">
        <is>
          <t>HR</t>
        </is>
      </c>
      <c r="C108" s="3" t="inlineStr">
        <is>
          <t>0.5 HR: regularization requests on the engine (originals kept)</t>
        </is>
      </c>
      <c r="D108" s="3" t="inlineStr">
        <is>
          <t>P1</t>
        </is>
      </c>
      <c r="E108" s="3" t="inlineStr">
        <is>
          <t>HR</t>
        </is>
      </c>
      <c r="F108" s="3" t="inlineStr">
        <is>
          <t>Fullstack</t>
        </is>
      </c>
      <c r="G108" s="3" t="inlineStr">
        <is>
          <t>docs/25 §7, HR-08</t>
        </is>
      </c>
      <c r="H108" s="3" t="inlineStr">
        <is>
          <t>Approved fix recomputes the day (E2E-R5-HR-07)</t>
        </is>
      </c>
      <c r="I108" s="3" t="inlineStr">
        <is>
          <t>M</t>
        </is>
      </c>
      <c r="J108" s="3" t="inlineStr">
        <is>
          <t>BPMS-227</t>
        </is>
      </c>
      <c r="K108" s="3" t="inlineStr">
        <is>
          <t>Not started</t>
        </is>
      </c>
      <c r="L108" s="3" t="inlineStr">
        <is>
          <t>—</t>
        </is>
      </c>
      <c r="M108" s="3" t="inlineStr"/>
      <c r="N108" s="3" t="inlineStr"/>
      <c r="O108" s="3" t="inlineStr"/>
      <c r="P108" s="3" t="inlineStr"/>
    </row>
    <row r="109">
      <c r="A109" s="3" t="inlineStr">
        <is>
          <t>BPMS-229</t>
        </is>
      </c>
      <c r="B109" s="3" t="inlineStr">
        <is>
          <t>HR</t>
        </is>
      </c>
      <c r="C109" s="3" t="inlineStr">
        <is>
          <t>0.5 HR: attendance register and reports, month close, payroll-ready export</t>
        </is>
      </c>
      <c r="D109" s="3" t="inlineStr">
        <is>
          <t>P1</t>
        </is>
      </c>
      <c r="E109" s="3" t="inlineStr">
        <is>
          <t>HR</t>
        </is>
      </c>
      <c r="F109" s="3" t="inlineStr">
        <is>
          <t>Fullstack</t>
        </is>
      </c>
      <c r="G109" s="3" t="inlineStr">
        <is>
          <t>docs/25 §2.8, HR-09</t>
        </is>
      </c>
      <c r="H109" s="3" t="inlineStr">
        <is>
          <t>Export equals the grid; closed month frozen (E2E-R5-HR-08)</t>
        </is>
      </c>
      <c r="I109" s="3" t="inlineStr">
        <is>
          <t>M</t>
        </is>
      </c>
      <c r="J109" s="3" t="inlineStr">
        <is>
          <t>BPMS-228</t>
        </is>
      </c>
      <c r="K109" s="3" t="inlineStr">
        <is>
          <t>Not started</t>
        </is>
      </c>
      <c r="L109" s="3" t="inlineStr">
        <is>
          <t>—</t>
        </is>
      </c>
      <c r="M109" s="3" t="inlineStr"/>
      <c r="N109" s="3" t="inlineStr"/>
      <c r="O109" s="3" t="inlineStr"/>
      <c r="P109" s="3" t="inlineStr"/>
    </row>
    <row r="110">
      <c r="A110" s="3" t="inlineStr">
        <is>
          <t>BPMS-160</t>
        </is>
      </c>
      <c r="B110" s="3" t="inlineStr">
        <is>
          <t>CASE</t>
        </is>
      </c>
      <c r="C110" s="3" t="inlineStr">
        <is>
          <t>Case types, queues, macros, SLAs, link/merge, restricted cases</t>
        </is>
      </c>
      <c r="D110" s="3" t="inlineStr">
        <is>
          <t>P1</t>
        </is>
      </c>
      <c r="E110" s="3" t="inlineStr">
        <is>
          <t>R5</t>
        </is>
      </c>
      <c r="F110" s="3" t="inlineStr">
        <is>
          <t>Fullstack</t>
        </is>
      </c>
      <c r="G110" s="3" t="inlineStr">
        <is>
          <t>FR-C01, FX-K01–K06</t>
        </is>
      </c>
      <c r="H110" s="3" t="inlineStr">
        <is>
          <t>J4 passes</t>
        </is>
      </c>
      <c r="I110" s="3" t="inlineStr">
        <is>
          <t>XL</t>
        </is>
      </c>
      <c r="J110" s="3" t="inlineStr">
        <is>
          <t>BPMS-082</t>
        </is>
      </c>
      <c r="K110" s="3" t="inlineStr">
        <is>
          <t>Not started</t>
        </is>
      </c>
      <c r="L110" s="3" t="inlineStr">
        <is>
          <t>—</t>
        </is>
      </c>
      <c r="M110" s="3" t="inlineStr"/>
      <c r="N110" s="3" t="inlineStr"/>
      <c r="O110" s="3" t="inlineStr"/>
      <c r="P110" s="3" t="inlineStr"/>
    </row>
    <row r="111">
      <c r="A111" s="3" t="inlineStr">
        <is>
          <t>BPMS-161</t>
        </is>
      </c>
      <c r="B111" s="3" t="inlineStr">
        <is>
          <t>AUD</t>
        </is>
      </c>
      <c r="C111" s="3" t="inlineStr">
        <is>
          <t>Investigations: pins, legal hold, signed export, conflict-of-interest</t>
        </is>
      </c>
      <c r="D111" s="3" t="inlineStr">
        <is>
          <t>P1</t>
        </is>
      </c>
      <c r="E111" s="3" t="inlineStr">
        <is>
          <t>R5</t>
        </is>
      </c>
      <c r="F111" s="3" t="inlineStr">
        <is>
          <t>Fullstack</t>
        </is>
      </c>
      <c r="G111" s="3" t="inlineStr">
        <is>
          <t>FR-T05/T06, FX-K08, FX-L01</t>
        </is>
      </c>
      <c r="H111" s="3" t="inlineStr">
        <is>
          <t>J10 passes</t>
        </is>
      </c>
      <c r="I111" s="3" t="inlineStr">
        <is>
          <t>L</t>
        </is>
      </c>
      <c r="J111" s="3" t="inlineStr">
        <is>
          <t>BPMS-064,160</t>
        </is>
      </c>
      <c r="K111" s="3" t="inlineStr">
        <is>
          <t>Not started</t>
        </is>
      </c>
      <c r="L111" s="3" t="inlineStr">
        <is>
          <t>—</t>
        </is>
      </c>
      <c r="M111" s="3" t="inlineStr"/>
      <c r="N111" s="3" t="inlineStr"/>
      <c r="O111" s="3" t="inlineStr"/>
      <c r="P111" s="3" t="inlineStr"/>
    </row>
    <row r="112">
      <c r="A112" s="3" t="inlineStr">
        <is>
          <t>BPMS-162</t>
        </is>
      </c>
      <c r="B112" s="3" t="inlineStr">
        <is>
          <t>AUD</t>
        </is>
      </c>
      <c r="C112" s="3" t="inlineStr">
        <is>
          <t>Checkpoints, RFC 3161, WORM export, procera-verify CLI</t>
        </is>
      </c>
      <c r="D112" s="3" t="inlineStr">
        <is>
          <t>P1</t>
        </is>
      </c>
      <c r="E112" s="3" t="inlineStr">
        <is>
          <t>R5</t>
        </is>
      </c>
      <c r="F112" s="3" t="inlineStr">
        <is>
          <t>Platform</t>
        </is>
      </c>
      <c r="G112" s="3" t="inlineStr">
        <is>
          <t>AUD-02–05</t>
        </is>
      </c>
      <c r="H112" s="3" t="inlineStr">
        <is>
          <t>Verifier detects tamper</t>
        </is>
      </c>
      <c r="I112" s="3" t="inlineStr">
        <is>
          <t>M</t>
        </is>
      </c>
      <c r="J112" s="3" t="inlineStr">
        <is>
          <t>BPMS-026</t>
        </is>
      </c>
      <c r="K112" s="3" t="inlineStr">
        <is>
          <t>Not started</t>
        </is>
      </c>
      <c r="L112" s="3" t="inlineStr">
        <is>
          <t>—</t>
        </is>
      </c>
      <c r="M112" s="3" t="inlineStr"/>
      <c r="N112" s="3" t="inlineStr"/>
      <c r="O112" s="3" t="inlineStr"/>
      <c r="P112" s="3" t="inlineStr"/>
    </row>
    <row r="113">
      <c r="A113" s="3" t="inlineStr">
        <is>
          <t>BPMS-163</t>
        </is>
      </c>
      <c r="B113" s="3" t="inlineStr">
        <is>
          <t>GOV</t>
        </is>
      </c>
      <c r="C113" s="3" t="inlineStr">
        <is>
          <t>Attestation campaigns, control mapping, access reviews</t>
        </is>
      </c>
      <c r="D113" s="3" t="inlineStr">
        <is>
          <t>P1</t>
        </is>
      </c>
      <c r="E113" s="3" t="inlineStr">
        <is>
          <t>R5</t>
        </is>
      </c>
      <c r="F113" s="3" t="inlineStr">
        <is>
          <t>Fullstack</t>
        </is>
      </c>
      <c r="G113" s="3" t="inlineStr">
        <is>
          <t>FR-G06, FR-W11</t>
        </is>
      </c>
      <c r="H113" s="3" t="inlineStr">
        <is>
          <t>Evidence export</t>
        </is>
      </c>
      <c r="I113" s="3" t="inlineStr">
        <is>
          <t>M</t>
        </is>
      </c>
      <c r="J113" s="3" t="inlineStr">
        <is>
          <t>BPMS-046</t>
        </is>
      </c>
      <c r="K113" s="3" t="inlineStr">
        <is>
          <t>Not started</t>
        </is>
      </c>
      <c r="L113" s="3" t="inlineStr">
        <is>
          <t>—</t>
        </is>
      </c>
      <c r="M113" s="3" t="inlineStr"/>
      <c r="N113" s="3" t="inlineStr"/>
      <c r="O113" s="3" t="inlineStr"/>
      <c r="P113" s="3" t="inlineStr"/>
    </row>
    <row r="114">
      <c r="A114" s="3" t="inlineStr">
        <is>
          <t>BPMS-164</t>
        </is>
      </c>
      <c r="B114" s="3" t="inlineStr">
        <is>
          <t>GOV</t>
        </is>
      </c>
      <c r="C114" s="3" t="inlineStr">
        <is>
          <t>Retention disposition + certificates, DSAR template, legal hold engine</t>
        </is>
      </c>
      <c r="D114" s="3" t="inlineStr">
        <is>
          <t>P1</t>
        </is>
      </c>
      <c r="E114" s="3" t="inlineStr">
        <is>
          <t>R5</t>
        </is>
      </c>
      <c r="F114" s="3" t="inlineStr">
        <is>
          <t>Backend</t>
        </is>
      </c>
      <c r="G114" s="3" t="inlineStr">
        <is>
          <t>PRV-01/03/04</t>
        </is>
      </c>
      <c r="H114" s="3" t="inlineStr">
        <is>
          <t>Holds block deletion</t>
        </is>
      </c>
      <c r="I114" s="3" t="inlineStr">
        <is>
          <t>M</t>
        </is>
      </c>
      <c r="J114" s="3" t="inlineStr">
        <is>
          <t>BPMS-066</t>
        </is>
      </c>
      <c r="K114" s="3" t="inlineStr">
        <is>
          <t>Not started</t>
        </is>
      </c>
      <c r="L114" s="3" t="inlineStr">
        <is>
          <t>—</t>
        </is>
      </c>
      <c r="M114" s="3" t="inlineStr"/>
      <c r="N114" s="3" t="inlineStr"/>
      <c r="O114" s="3" t="inlineStr"/>
      <c r="P114" s="3" t="inlineStr"/>
    </row>
    <row r="115">
      <c r="A115" s="3" t="inlineStr">
        <is>
          <t>BPMS-165</t>
        </is>
      </c>
      <c r="B115" s="3" t="inlineStr">
        <is>
          <t>SIGN</t>
        </is>
      </c>
      <c r="C115" s="3" t="inlineStr">
        <is>
          <t>Part 11 mode, PAdES-LTV, TSA; in-person/kiosk signing</t>
        </is>
      </c>
      <c r="D115" s="3" t="inlineStr">
        <is>
          <t>P1</t>
        </is>
      </c>
      <c r="E115" s="3" t="inlineStr">
        <is>
          <t>R5</t>
        </is>
      </c>
      <c r="F115" s="3" t="inlineStr">
        <is>
          <t>Fullstack</t>
        </is>
      </c>
      <c r="G115" s="3" t="inlineStr">
        <is>
          <t>ESIG-01–05, FR-DS05, FX-S11</t>
        </is>
      </c>
      <c r="H115" s="3" t="inlineStr">
        <is>
          <t>Verification passes</t>
        </is>
      </c>
      <c r="I115" s="3" t="inlineStr">
        <is>
          <t>L</t>
        </is>
      </c>
      <c r="J115" s="3" t="inlineStr">
        <is>
          <t>BPMS-107</t>
        </is>
      </c>
      <c r="K115" s="3" t="inlineStr">
        <is>
          <t>Not started</t>
        </is>
      </c>
      <c r="L115" s="3" t="inlineStr">
        <is>
          <t>—</t>
        </is>
      </c>
      <c r="M115" s="3" t="inlineStr"/>
      <c r="N115" s="3" t="inlineStr"/>
      <c r="O115" s="3" t="inlineStr"/>
      <c r="P115" s="3" t="inlineStr"/>
    </row>
    <row r="116">
      <c r="A116" s="3" t="inlineStr">
        <is>
          <t>BPMS-166</t>
        </is>
      </c>
      <c r="B116" s="3" t="inlineStr">
        <is>
          <t>ADMIN</t>
        </is>
      </c>
      <c r="C116" s="3" t="inlineStr">
        <is>
          <t>Alert centre, custom dashboards, report builder, scheduled reports, KPI goals, usage analytics, CSAT</t>
        </is>
      </c>
      <c r="D116" s="3" t="inlineStr">
        <is>
          <t>P1</t>
        </is>
      </c>
      <c r="E116" s="3" t="inlineStr">
        <is>
          <t>R5</t>
        </is>
      </c>
      <c r="F116" s="3" t="inlineStr">
        <is>
          <t>Fullstack</t>
        </is>
      </c>
      <c r="G116" s="3" t="inlineStr">
        <is>
          <t>FR-A07–A09, FX-A01–A04, FX-R04</t>
        </is>
      </c>
      <c r="H116" s="3" t="inlineStr">
        <is>
          <t>RLS at run time</t>
        </is>
      </c>
      <c r="I116" s="3" t="inlineStr">
        <is>
          <t>XL</t>
        </is>
      </c>
      <c r="J116" s="3" t="inlineStr">
        <is>
          <t>BPMS-063</t>
        </is>
      </c>
      <c r="K116" s="3" t="inlineStr">
        <is>
          <t>Not started</t>
        </is>
      </c>
      <c r="L116" s="3" t="inlineStr">
        <is>
          <t>—</t>
        </is>
      </c>
      <c r="M116" s="3" t="inlineStr"/>
      <c r="N116" s="3" t="inlineStr"/>
      <c r="O116" s="3" t="inlineStr"/>
      <c r="P116" s="3" t="inlineStr"/>
    </row>
    <row r="117">
      <c r="A117" s="3" t="inlineStr">
        <is>
          <t>BPMS-167</t>
        </is>
      </c>
      <c r="B117" s="3" t="inlineStr">
        <is>
          <t>IAM</t>
        </is>
      </c>
      <c r="C117" s="3" t="inlineStr">
        <is>
          <t>Separation mode; break-glass</t>
        </is>
      </c>
      <c r="D117" s="3" t="inlineStr">
        <is>
          <t>P1</t>
        </is>
      </c>
      <c r="E117" s="3" t="inlineStr">
        <is>
          <t>R5</t>
        </is>
      </c>
      <c r="F117" s="3" t="inlineStr">
        <is>
          <t>Platform</t>
        </is>
      </c>
      <c r="G117" s="3" t="inlineStr">
        <is>
          <t>12 §6.1, FR-S07</t>
        </is>
      </c>
      <c r="H117" s="3" t="inlineStr">
        <is>
          <t>Visible to workspace</t>
        </is>
      </c>
      <c r="I117" s="3" t="inlineStr">
        <is>
          <t>M</t>
        </is>
      </c>
      <c r="J117" s="3" t="inlineStr">
        <is>
          <t>BPMS-024</t>
        </is>
      </c>
      <c r="K117" s="3" t="inlineStr">
        <is>
          <t>Not started</t>
        </is>
      </c>
      <c r="L117" s="3" t="inlineStr">
        <is>
          <t>—</t>
        </is>
      </c>
      <c r="M117" s="3" t="inlineStr"/>
      <c r="N117" s="3" t="inlineStr"/>
      <c r="O117" s="3" t="inlineStr"/>
      <c r="P117" s="3" t="inlineStr"/>
    </row>
    <row r="118">
      <c r="A118" s="3" t="inlineStr">
        <is>
          <t>BPMS-168</t>
        </is>
      </c>
      <c r="B118" s="3" t="inlineStr">
        <is>
          <t>LIB</t>
        </is>
      </c>
      <c r="C118" s="3" t="inlineStr">
        <is>
          <t>Role-based onboarding/training paths</t>
        </is>
      </c>
      <c r="D118" s="3" t="inlineStr">
        <is>
          <t>P1</t>
        </is>
      </c>
      <c r="E118" s="3" t="inlineStr">
        <is>
          <t>R5</t>
        </is>
      </c>
      <c r="F118" s="3" t="inlineStr">
        <is>
          <t>Fullstack</t>
        </is>
      </c>
      <c r="G118" s="3" t="inlineStr">
        <is>
          <t>FX-G07</t>
        </is>
      </c>
      <c r="H118" s="3" t="inlineStr">
        <is>
          <t>Completion reports</t>
        </is>
      </c>
      <c r="I118" s="3" t="inlineStr">
        <is>
          <t>M</t>
        </is>
      </c>
      <c r="J118" s="3" t="inlineStr">
        <is>
          <t>BPMS-046</t>
        </is>
      </c>
      <c r="K118" s="3" t="inlineStr">
        <is>
          <t>Not started</t>
        </is>
      </c>
      <c r="L118" s="3" t="inlineStr">
        <is>
          <t>—</t>
        </is>
      </c>
      <c r="M118" s="3" t="inlineStr"/>
      <c r="N118" s="3" t="inlineStr"/>
      <c r="O118" s="3" t="inlineStr"/>
      <c r="P118" s="3" t="inlineStr"/>
    </row>
    <row r="119">
      <c r="A119" s="3" t="inlineStr">
        <is>
          <t>BPMS-169</t>
        </is>
      </c>
      <c r="B119" s="3" t="inlineStr">
        <is>
          <t>E2E</t>
        </is>
      </c>
      <c r="C119" s="3" t="inlineStr">
        <is>
          <t>E2E-R5 pack incl. investigations, Part 11, break-glass</t>
        </is>
      </c>
      <c r="D119" s="3" t="inlineStr">
        <is>
          <t>P1</t>
        </is>
      </c>
      <c r="E119" s="3" t="inlineStr">
        <is>
          <t>R5</t>
        </is>
      </c>
      <c r="F119" s="3" t="inlineStr">
        <is>
          <t>SDET + feature owners</t>
        </is>
      </c>
      <c r="G119" s="3" t="inlineStr">
        <is>
          <t>23 §5</t>
        </is>
      </c>
      <c r="H119" s="3" t="inlineStr">
        <is>
          <t>Green</t>
        </is>
      </c>
      <c r="I119" s="3" t="inlineStr">
        <is>
          <t>L</t>
        </is>
      </c>
      <c r="J119" s="3" t="inlineStr">
        <is>
          <t>BPMS-152</t>
        </is>
      </c>
      <c r="K119" s="3" t="inlineStr">
        <is>
          <t>Not started</t>
        </is>
      </c>
      <c r="L119" s="3" t="inlineStr">
        <is>
          <t>—</t>
        </is>
      </c>
      <c r="M119" s="3" t="inlineStr"/>
      <c r="N119" s="3" t="inlineStr"/>
      <c r="O119" s="3" t="inlineStr"/>
      <c r="P119" s="3" t="inlineStr"/>
    </row>
    <row r="120">
      <c r="A120" s="3" t="inlineStr">
        <is>
          <t>BPMS-186</t>
        </is>
      </c>
      <c r="B120" s="3" t="inlineStr">
        <is>
          <t>AI</t>
        </is>
      </c>
      <c r="C120" s="3" t="inlineStr">
        <is>
          <t>AI assistance P1 set (drafting, summaries, translate, Q&amp;A) behind kill switch</t>
        </is>
      </c>
      <c r="D120" s="3" t="inlineStr">
        <is>
          <t>P1</t>
        </is>
      </c>
      <c r="E120" s="3" t="inlineStr">
        <is>
          <t>R5</t>
        </is>
      </c>
      <c r="F120" s="3" t="inlineStr">
        <is>
          <t>Fullstack</t>
        </is>
      </c>
      <c r="G120" s="3" t="inlineStr">
        <is>
          <t>16, ADR-0006</t>
        </is>
      </c>
      <c r="H120" s="3" t="inlineStr">
        <is>
          <t>Eval thresholds</t>
        </is>
      </c>
      <c r="I120" s="3" t="inlineStr">
        <is>
          <t>L</t>
        </is>
      </c>
      <c r="J120" s="3" t="inlineStr"/>
      <c r="K120" s="3" t="inlineStr">
        <is>
          <t>Not started</t>
        </is>
      </c>
      <c r="L120" s="3" t="inlineStr">
        <is>
          <t>—</t>
        </is>
      </c>
      <c r="M120" s="3" t="inlineStr"/>
      <c r="N120" s="3" t="inlineStr"/>
      <c r="O120" s="3" t="inlineStr"/>
      <c r="P120" s="3" t="inlineStr"/>
    </row>
    <row r="121">
      <c r="A121" s="3" t="inlineStr">
        <is>
          <t>BPMS-180</t>
        </is>
      </c>
      <c r="B121" s="3" t="inlineStr">
        <is>
          <t>OPS</t>
        </is>
      </c>
      <c r="C121" s="3" t="inlineStr">
        <is>
          <t>Load test at reference load; HA failover; RPO/RTO restore drill</t>
        </is>
      </c>
      <c r="D121" s="3" t="inlineStr">
        <is>
          <t>P1</t>
        </is>
      </c>
      <c r="E121" s="3" t="inlineStr">
        <is>
          <t>GA</t>
        </is>
      </c>
      <c r="F121" s="3" t="inlineStr">
        <is>
          <t>SRE</t>
        </is>
      </c>
      <c r="G121" s="3" t="inlineStr">
        <is>
          <t>06, T09</t>
        </is>
      </c>
      <c r="H121" s="3" t="inlineStr">
        <is>
          <t>Targets met</t>
        </is>
      </c>
      <c r="I121" s="3" t="inlineStr">
        <is>
          <t>L</t>
        </is>
      </c>
      <c r="J121" s="3" t="inlineStr"/>
      <c r="K121" s="3" t="inlineStr">
        <is>
          <t>Not started</t>
        </is>
      </c>
      <c r="L121" s="3" t="inlineStr">
        <is>
          <t>—</t>
        </is>
      </c>
      <c r="M121" s="3" t="inlineStr"/>
      <c r="N121" s="3" t="inlineStr"/>
      <c r="O121" s="3" t="inlineStr"/>
      <c r="P121" s="3" t="inlineStr"/>
    </row>
    <row r="122">
      <c r="A122" s="3" t="inlineStr">
        <is>
          <t>BPMS-181</t>
        </is>
      </c>
      <c r="B122" s="3" t="inlineStr">
        <is>
          <t>SEC</t>
        </is>
      </c>
      <c r="C122" s="3" t="inlineStr">
        <is>
          <t>External pentest + ASVS L2 self-assessment + fixes</t>
        </is>
      </c>
      <c r="D122" s="3" t="inlineStr">
        <is>
          <t>P1</t>
        </is>
      </c>
      <c r="E122" s="3" t="inlineStr">
        <is>
          <t>GA</t>
        </is>
      </c>
      <c r="F122" s="3" t="inlineStr">
        <is>
          <t>Security</t>
        </is>
      </c>
      <c r="G122" s="3" t="inlineStr">
        <is>
          <t>06</t>
        </is>
      </c>
      <c r="H122" s="3" t="inlineStr">
        <is>
          <t>0 crit/high</t>
        </is>
      </c>
      <c r="I122" s="3" t="inlineStr">
        <is>
          <t>M</t>
        </is>
      </c>
      <c r="J122" s="3" t="inlineStr"/>
      <c r="K122" s="3" t="inlineStr">
        <is>
          <t>Not started</t>
        </is>
      </c>
      <c r="L122" s="3" t="inlineStr">
        <is>
          <t>—</t>
        </is>
      </c>
      <c r="M122" s="3" t="inlineStr"/>
      <c r="N122" s="3" t="inlineStr"/>
      <c r="O122" s="3" t="inlineStr"/>
      <c r="P122" s="3" t="inlineStr"/>
    </row>
    <row r="123">
      <c r="A123" s="3" t="inlineStr">
        <is>
          <t>BPMS-182</t>
        </is>
      </c>
      <c r="B123" s="3" t="inlineStr">
        <is>
          <t>UX</t>
        </is>
      </c>
      <c r="C123" s="3" t="inlineStr">
        <is>
          <t>WCAG 2.2 AA audit + VPAT 2.5 INT</t>
        </is>
      </c>
      <c r="D123" s="3" t="inlineStr">
        <is>
          <t>P1</t>
        </is>
      </c>
      <c r="E123" s="3" t="inlineStr">
        <is>
          <t>GA</t>
        </is>
      </c>
      <c r="F123" s="3" t="inlineStr">
        <is>
          <t>Design/QA</t>
        </is>
      </c>
      <c r="G123" s="3" t="inlineStr">
        <is>
          <t>A11Y-01/03</t>
        </is>
      </c>
      <c r="H123" s="3" t="inlineStr">
        <is>
          <t>Audit pass</t>
        </is>
      </c>
      <c r="I123" s="3" t="inlineStr">
        <is>
          <t>M</t>
        </is>
      </c>
      <c r="J123" s="3" t="inlineStr"/>
      <c r="K123" s="3" t="inlineStr">
        <is>
          <t>Not started</t>
        </is>
      </c>
      <c r="L123" s="3" t="inlineStr">
        <is>
          <t>—</t>
        </is>
      </c>
      <c r="M123" s="3" t="inlineStr"/>
      <c r="N123" s="3" t="inlineStr"/>
      <c r="O123" s="3" t="inlineStr"/>
      <c r="P123" s="3" t="inlineStr"/>
    </row>
    <row r="124">
      <c r="A124" s="3" t="inlineStr">
        <is>
          <t>BPMS-183</t>
        </is>
      </c>
      <c r="B124" s="3" t="inlineStr">
        <is>
          <t>I18N</t>
        </is>
      </c>
      <c r="C124" s="3" t="inlineStr">
        <is>
          <t>3 UI languages + RTL + pseudo-locale</t>
        </is>
      </c>
      <c r="D124" s="3" t="inlineStr">
        <is>
          <t>P1</t>
        </is>
      </c>
      <c r="E124" s="3" t="inlineStr">
        <is>
          <t>GA</t>
        </is>
      </c>
      <c r="F124" s="3" t="inlineStr">
        <is>
          <t>FE</t>
        </is>
      </c>
      <c r="G124" s="3" t="inlineStr">
        <is>
          <t>FR-P04, OQ-09</t>
        </is>
      </c>
      <c r="H124" s="3" t="inlineStr">
        <is>
          <t>Checks pass</t>
        </is>
      </c>
      <c r="I124" s="3" t="inlineStr">
        <is>
          <t>M</t>
        </is>
      </c>
      <c r="J124" s="3" t="inlineStr"/>
      <c r="K124" s="3" t="inlineStr">
        <is>
          <t>Not started</t>
        </is>
      </c>
      <c r="L124" s="3" t="inlineStr">
        <is>
          <t>—</t>
        </is>
      </c>
      <c r="M124" s="3" t="inlineStr"/>
      <c r="N124" s="3" t="inlineStr"/>
      <c r="O124" s="3" t="inlineStr"/>
      <c r="P124" s="3" t="inlineStr"/>
    </row>
    <row r="125">
      <c r="A125" s="3" t="inlineStr">
        <is>
          <t>BPMS-184</t>
        </is>
      </c>
      <c r="B125" s="3" t="inlineStr">
        <is>
          <t>OPS</t>
        </is>
      </c>
      <c r="C125" s="3" t="inlineStr">
        <is>
          <t>Helm chart, air-gapped bundle, upgrade N-1→N tests, dedicated-DB tier</t>
        </is>
      </c>
      <c r="D125" s="3" t="inlineStr">
        <is>
          <t>P1</t>
        </is>
      </c>
      <c r="E125" s="3" t="inlineStr">
        <is>
          <t>GA</t>
        </is>
      </c>
      <c r="F125" s="3" t="inlineStr">
        <is>
          <t>DevOps</t>
        </is>
      </c>
      <c r="G125" s="3" t="inlineStr">
        <is>
          <t>FR-P06, FR-S10</t>
        </is>
      </c>
      <c r="H125" s="3" t="inlineStr">
        <is>
          <t>Upgrade with live instances</t>
        </is>
      </c>
      <c r="I125" s="3" t="inlineStr">
        <is>
          <t>L</t>
        </is>
      </c>
      <c r="J125" s="3" t="inlineStr"/>
      <c r="K125" s="3" t="inlineStr">
        <is>
          <t>Not started</t>
        </is>
      </c>
      <c r="L125" s="3" t="inlineStr">
        <is>
          <t>—</t>
        </is>
      </c>
      <c r="M125" s="3" t="inlineStr"/>
      <c r="N125" s="3" t="inlineStr"/>
      <c r="O125" s="3" t="inlineStr"/>
      <c r="P125" s="3" t="inlineStr"/>
    </row>
    <row r="126">
      <c r="A126" s="3" t="inlineStr">
        <is>
          <t>BPMS-185</t>
        </is>
      </c>
      <c r="B126" s="3" t="inlineStr">
        <is>
          <t>DOC</t>
        </is>
      </c>
      <c r="C126" s="3" t="inlineStr">
        <is>
          <t>Docs site, admin guide, API reference, trust pack</t>
        </is>
      </c>
      <c r="D126" s="3" t="inlineStr">
        <is>
          <t>P1</t>
        </is>
      </c>
      <c r="E126" s="3" t="inlineStr">
        <is>
          <t>GA</t>
        </is>
      </c>
      <c r="F126" s="3" t="inlineStr">
        <is>
          <t>Writer</t>
        </is>
      </c>
      <c r="G126" s="3" t="inlineStr">
        <is>
          <t>FX-P06</t>
        </is>
      </c>
      <c r="H126" s="3" t="inlineStr">
        <is>
          <t>Published</t>
        </is>
      </c>
      <c r="I126" s="3" t="inlineStr">
        <is>
          <t>M</t>
        </is>
      </c>
      <c r="J126" s="3" t="inlineStr"/>
      <c r="K126" s="3" t="inlineStr">
        <is>
          <t>Not started</t>
        </is>
      </c>
      <c r="L126" s="3" t="inlineStr">
        <is>
          <t>—</t>
        </is>
      </c>
      <c r="M126" s="3" t="inlineStr"/>
      <c r="N126" s="3" t="inlineStr"/>
      <c r="O126" s="3" t="inlineStr"/>
      <c r="P126" s="3" t="inlineStr"/>
    </row>
    <row r="127">
      <c r="A127" s="3" t="inlineStr">
        <is>
          <t>BPMS-187</t>
        </is>
      </c>
      <c r="B127" s="3" t="inlineStr">
        <is>
          <t>E2E</t>
        </is>
      </c>
      <c r="C127" s="3" t="inlineStr">
        <is>
          <t>E2E-GA regression: 3 browsers × 2 viewports, cache-off, upgrade-path R1→1.0, air-gapped</t>
        </is>
      </c>
      <c r="D127" s="3" t="inlineStr">
        <is>
          <t>P1</t>
        </is>
      </c>
      <c r="E127" s="3" t="inlineStr">
        <is>
          <t>GA</t>
        </is>
      </c>
      <c r="F127" s="3" t="inlineStr">
        <is>
          <t>SDET</t>
        </is>
      </c>
      <c r="G127" s="3" t="inlineStr">
        <is>
          <t>23 §5</t>
        </is>
      </c>
      <c r="H127" s="3" t="inlineStr">
        <is>
          <t>Green; flake &lt; 0.5 %</t>
        </is>
      </c>
      <c r="I127" s="3" t="inlineStr">
        <is>
          <t>M</t>
        </is>
      </c>
      <c r="J127" s="3" t="inlineStr">
        <is>
          <t>BPMS-169</t>
        </is>
      </c>
      <c r="K127" s="3" t="inlineStr">
        <is>
          <t>Not started</t>
        </is>
      </c>
      <c r="L127" s="3" t="inlineStr">
        <is>
          <t>—</t>
        </is>
      </c>
      <c r="M127" s="3" t="inlineStr"/>
      <c r="N127" s="3" t="inlineStr"/>
      <c r="O127" s="3" t="inlineStr"/>
      <c r="P127" s="3" t="inlineStr"/>
    </row>
    <row r="128">
      <c r="A128" s="3" t="inlineStr">
        <is>
          <t>BPMS-190</t>
        </is>
      </c>
      <c r="B128" s="3" t="inlineStr">
        <is>
          <t>REL</t>
        </is>
      </c>
      <c r="C128" s="3" t="inlineStr">
        <is>
          <t>GA release: signed artefacts, SBOM, provenance, runbooks</t>
        </is>
      </c>
      <c r="D128" s="3" t="inlineStr">
        <is>
          <t>P1</t>
        </is>
      </c>
      <c r="E128" s="3" t="inlineStr">
        <is>
          <t>GA</t>
        </is>
      </c>
      <c r="F128" s="3" t="inlineStr">
        <is>
          <t>Tech lead</t>
        </is>
      </c>
      <c r="G128" s="3" t="inlineStr">
        <is>
          <t>G5</t>
        </is>
      </c>
      <c r="H128" s="3" t="inlineStr">
        <is>
          <t>Released</t>
        </is>
      </c>
      <c r="I128" s="3" t="inlineStr">
        <is>
          <t>S</t>
        </is>
      </c>
      <c r="J128" s="3" t="inlineStr">
        <is>
          <t>M10</t>
        </is>
      </c>
      <c r="K128" s="3" t="inlineStr">
        <is>
          <t>Not started</t>
        </is>
      </c>
      <c r="L128" s="3" t="inlineStr">
        <is>
          <t>—</t>
        </is>
      </c>
      <c r="M128" s="3" t="inlineStr"/>
      <c r="N128" s="3" t="inlineStr"/>
      <c r="O128" s="3" t="inlineStr"/>
      <c r="P128" s="3" t="inlineStr"/>
    </row>
    <row r="129">
      <c r="A129" s="3" t="inlineStr">
        <is>
          <t>BPMS-200</t>
        </is>
      </c>
      <c r="B129" s="3" t="inlineStr">
        <is>
          <t>INT</t>
        </is>
      </c>
      <c r="C129" s="3" t="inlineStr">
        <is>
          <t>Chat/host-platform connectors (identity, embed, cards, notifications, directory)</t>
        </is>
      </c>
      <c r="D129" s="3" t="inlineStr">
        <is>
          <t>P2</t>
        </is>
      </c>
      <c r="E129" s="3" t="inlineStr">
        <is>
          <t>POST</t>
        </is>
      </c>
      <c r="F129" s="3" t="inlineStr">
        <is>
          <t>Backend</t>
        </is>
      </c>
      <c r="G129" s="3" t="inlineStr">
        <is>
          <t>13 §4</t>
        </is>
      </c>
      <c r="H129" s="3" t="inlineStr">
        <is>
          <t>Demand gate</t>
        </is>
      </c>
      <c r="I129" s="3" t="inlineStr">
        <is>
          <t>XL</t>
        </is>
      </c>
      <c r="J129" s="3" t="inlineStr"/>
      <c r="K129" s="3" t="inlineStr">
        <is>
          <t>Not started</t>
        </is>
      </c>
      <c r="L129" s="3" t="inlineStr">
        <is>
          <t>—</t>
        </is>
      </c>
      <c r="M129" s="3" t="inlineStr"/>
      <c r="N129" s="3" t="inlineStr"/>
      <c r="O129" s="3" t="inlineStr"/>
      <c r="P129" s="3" t="inlineStr"/>
    </row>
    <row r="130">
      <c r="A130" s="3" t="inlineStr">
        <is>
          <t>BPMS-201</t>
        </is>
      </c>
      <c r="B130" s="3" t="inlineStr">
        <is>
          <t>INT</t>
        </is>
      </c>
      <c r="C130" s="3" t="inlineStr">
        <is>
          <t>Chat cards (Slack/Teams), M365/Google, HRIS, ERP connectors</t>
        </is>
      </c>
      <c r="D130" s="3" t="inlineStr">
        <is>
          <t>P2</t>
        </is>
      </c>
      <c r="E130" s="3" t="inlineStr">
        <is>
          <t>POST</t>
        </is>
      </c>
      <c r="F130" s="3" t="inlineStr">
        <is>
          <t>Backend</t>
        </is>
      </c>
      <c r="G130" s="3" t="inlineStr">
        <is>
          <t>INT-*</t>
        </is>
      </c>
      <c r="H130" s="3" t="inlineStr">
        <is>
          <t>—</t>
        </is>
      </c>
      <c r="I130" s="3" t="inlineStr">
        <is>
          <t>XL</t>
        </is>
      </c>
      <c r="J130" s="3" t="inlineStr"/>
      <c r="K130" s="3" t="inlineStr">
        <is>
          <t>Not started</t>
        </is>
      </c>
      <c r="L130" s="3" t="inlineStr">
        <is>
          <t>—</t>
        </is>
      </c>
      <c r="M130" s="3" t="inlineStr"/>
      <c r="N130" s="3" t="inlineStr"/>
      <c r="O130" s="3" t="inlineStr"/>
      <c r="P130" s="3" t="inlineStr"/>
    </row>
    <row r="131">
      <c r="A131" s="3" t="inlineStr">
        <is>
          <t>BPMS-202</t>
        </is>
      </c>
      <c r="B131" s="3" t="inlineStr">
        <is>
          <t>SIGN</t>
        </is>
      </c>
      <c r="C131" s="3" t="inlineStr">
        <is>
          <t>QES via QTSP; Aadhaar eSign via ESP; SMS/IDV providers</t>
        </is>
      </c>
      <c r="D131" s="3" t="inlineStr">
        <is>
          <t>P2</t>
        </is>
      </c>
      <c r="E131" s="3" t="inlineStr">
        <is>
          <t>POST</t>
        </is>
      </c>
      <c r="F131" s="3" t="inlineStr">
        <is>
          <t>Backend</t>
        </is>
      </c>
      <c r="G131" s="3" t="inlineStr">
        <is>
          <t>FX-S13, FX-S07</t>
        </is>
      </c>
      <c r="H131" s="3" t="inlineStr">
        <is>
          <t>—</t>
        </is>
      </c>
      <c r="I131" s="3" t="inlineStr">
        <is>
          <t>L</t>
        </is>
      </c>
      <c r="J131" s="3" t="inlineStr"/>
      <c r="K131" s="3" t="inlineStr">
        <is>
          <t>Not started</t>
        </is>
      </c>
      <c r="L131" s="3" t="inlineStr">
        <is>
          <t>—</t>
        </is>
      </c>
      <c r="M131" s="3" t="inlineStr"/>
      <c r="N131" s="3" t="inlineStr"/>
      <c r="O131" s="3" t="inlineStr"/>
      <c r="P131" s="3" t="inlineStr"/>
    </row>
    <row r="132">
      <c r="A132" s="3" t="inlineStr">
        <is>
          <t>BPMS-203</t>
        </is>
      </c>
      <c r="B132" s="3" t="inlineStr">
        <is>
          <t>EXEC</t>
        </is>
      </c>
      <c r="C132" s="3" t="inlineStr">
        <is>
          <t>BPMN view (diagram-js), DMN import/export, migration tool, simulation</t>
        </is>
      </c>
      <c r="D132" s="3" t="inlineStr">
        <is>
          <t>P2</t>
        </is>
      </c>
      <c r="E132" s="3" t="inlineStr">
        <is>
          <t>POST</t>
        </is>
      </c>
      <c r="F132" s="3" t="inlineStr">
        <is>
          <t>Runtime/FE</t>
        </is>
      </c>
      <c r="G132" s="3" t="inlineStr">
        <is>
          <t>ADR-0018, FR-E07/E10, FR-I04</t>
        </is>
      </c>
      <c r="H132" s="3" t="inlineStr">
        <is>
          <t>—</t>
        </is>
      </c>
      <c r="I132" s="3" t="inlineStr">
        <is>
          <t>XL</t>
        </is>
      </c>
      <c r="J132" s="3" t="inlineStr"/>
      <c r="K132" s="3" t="inlineStr">
        <is>
          <t>Not started</t>
        </is>
      </c>
      <c r="L132" s="3" t="inlineStr">
        <is>
          <t>—</t>
        </is>
      </c>
      <c r="M132" s="3" t="inlineStr"/>
      <c r="N132" s="3" t="inlineStr"/>
      <c r="O132" s="3" t="inlineStr"/>
      <c r="P132" s="3" t="inlineStr"/>
    </row>
    <row r="133">
      <c r="A133" s="3" t="inlineStr">
        <is>
          <t>BPMS-204</t>
        </is>
      </c>
      <c r="B133" s="3" t="inlineStr">
        <is>
          <t>INS</t>
        </is>
      </c>
      <c r="C133" s="3" t="inlineStr">
        <is>
          <t>Event-log export OCEL 2.0 / XES</t>
        </is>
      </c>
      <c r="D133" s="3" t="inlineStr">
        <is>
          <t>P2</t>
        </is>
      </c>
      <c r="E133" s="3" t="inlineStr">
        <is>
          <t>POST</t>
        </is>
      </c>
      <c r="F133" s="3" t="inlineStr">
        <is>
          <t>Data</t>
        </is>
      </c>
      <c r="G133" s="3" t="inlineStr">
        <is>
          <t>FR-I03</t>
        </is>
      </c>
      <c r="H133" s="3" t="inlineStr">
        <is>
          <t>Schema-valid</t>
        </is>
      </c>
      <c r="I133" s="3" t="inlineStr">
        <is>
          <t>M</t>
        </is>
      </c>
      <c r="J133" s="3" t="inlineStr"/>
      <c r="K133" s="3" t="inlineStr">
        <is>
          <t>Not started</t>
        </is>
      </c>
      <c r="L133" s="3" t="inlineStr">
        <is>
          <t>—</t>
        </is>
      </c>
      <c r="M133" s="3" t="inlineStr"/>
      <c r="N133" s="3" t="inlineStr"/>
      <c r="O133" s="3" t="inlineStr"/>
      <c r="P133" s="3" t="inlineStr"/>
    </row>
    <row r="134">
      <c r="A134" s="3" t="inlineStr">
        <is>
          <t>BPMS-205</t>
        </is>
      </c>
      <c r="B134" s="3" t="inlineStr">
        <is>
          <t>AI</t>
        </is>
      </c>
      <c r="C134" s="3" t="inlineStr">
        <is>
          <t>Governed AI agent steps</t>
        </is>
      </c>
      <c r="D134" s="3" t="inlineStr">
        <is>
          <t>P2</t>
        </is>
      </c>
      <c r="E134" s="3" t="inlineStr">
        <is>
          <t>POST</t>
        </is>
      </c>
      <c r="F134" s="3" t="inlineStr">
        <is>
          <t>Fullstack</t>
        </is>
      </c>
      <c r="G134" s="3" t="inlineStr">
        <is>
          <t>16</t>
        </is>
      </c>
      <c r="H134" s="3" t="inlineStr">
        <is>
          <t>Human gate</t>
        </is>
      </c>
      <c r="I134" s="3" t="inlineStr">
        <is>
          <t>L</t>
        </is>
      </c>
      <c r="J134" s="3" t="inlineStr"/>
      <c r="K134" s="3" t="inlineStr">
        <is>
          <t>Not started</t>
        </is>
      </c>
      <c r="L134" s="3" t="inlineStr">
        <is>
          <t>—</t>
        </is>
      </c>
      <c r="M134" s="3" t="inlineStr"/>
      <c r="N134" s="3" t="inlineStr"/>
      <c r="O134" s="3" t="inlineStr"/>
      <c r="P134" s="3" t="inlineStr"/>
    </row>
    <row r="135">
      <c r="A135" s="3" t="inlineStr">
        <is>
          <t>BPMS-230</t>
        </is>
      </c>
      <c r="B135" s="3" t="inlineStr">
        <is>
          <t>HR</t>
        </is>
      </c>
      <c r="C135" s="3" t="inlineStr">
        <is>
          <t>Future: payroll calculation (components, pay groups, monthly run from closed attendance, country rules as plug-ins, bank file)</t>
        </is>
      </c>
      <c r="D135" s="3" t="inlineStr">
        <is>
          <t>P2</t>
        </is>
      </c>
      <c r="E135" s="3" t="inlineStr">
        <is>
          <t>POST</t>
        </is>
      </c>
      <c r="F135" s="3" t="inlineStr">
        <is>
          <t>Fullstack</t>
        </is>
      </c>
      <c r="G135" s="3" t="inlineStr">
        <is>
          <t>docs/25 §11</t>
        </is>
      </c>
      <c r="H135" s="3" t="inlineStr">
        <is>
          <t>Own design doc + ADR first</t>
        </is>
      </c>
      <c r="I135" s="3" t="inlineStr">
        <is>
          <t>XL</t>
        </is>
      </c>
      <c r="J135" s="3" t="inlineStr">
        <is>
          <t>BPMS-229</t>
        </is>
      </c>
      <c r="K135" s="3" t="inlineStr">
        <is>
          <t>Not started</t>
        </is>
      </c>
      <c r="L135" s="3" t="inlineStr">
        <is>
          <t>—</t>
        </is>
      </c>
      <c r="M135" s="3" t="inlineStr"/>
      <c r="N135" s="3" t="inlineStr"/>
      <c r="O135" s="3" t="inlineStr"/>
      <c r="P135" s="3" t="inlineStr"/>
    </row>
    <row r="136">
      <c r="A136" s="3" t="inlineStr">
        <is>
          <t>BPMS-231</t>
        </is>
      </c>
      <c r="B136" s="3" t="inlineStr">
        <is>
          <t>HR</t>
        </is>
      </c>
      <c r="C136" s="3" t="inlineStr">
        <is>
          <t>Future: releasing documents to people (payslips, letters) generated per person, encrypted, batch release, My documents, ack or e-sign</t>
        </is>
      </c>
      <c r="D136" s="3" t="inlineStr">
        <is>
          <t>P2</t>
        </is>
      </c>
      <c r="E136" s="3" t="inlineStr">
        <is>
          <t>POST</t>
        </is>
      </c>
      <c r="F136" s="3" t="inlineStr">
        <is>
          <t>Fullstack</t>
        </is>
      </c>
      <c r="G136" s="3" t="inlineStr">
        <is>
          <t>docs/25 §11</t>
        </is>
      </c>
      <c r="H136" s="3" t="inlineStr">
        <is>
          <t>Own design doc first</t>
        </is>
      </c>
      <c r="I136" s="3" t="inlineStr">
        <is>
          <t>L</t>
        </is>
      </c>
      <c r="J136" s="3" t="inlineStr">
        <is>
          <t>BPMS-107</t>
        </is>
      </c>
      <c r="K136" s="3" t="inlineStr">
        <is>
          <t>Not started</t>
        </is>
      </c>
      <c r="L136" s="3" t="inlineStr">
        <is>
          <t>—</t>
        </is>
      </c>
      <c r="M136" s="3" t="inlineStr"/>
      <c r="N136" s="3" t="inlineStr"/>
      <c r="O136" s="3" t="inlineStr"/>
      <c r="P136" s="3" t="inlineStr"/>
    </row>
  </sheetData>
  <conditionalFormatting sqref="K2:K13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3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9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(in E2E-R4-SSO-01..02, UI-08) OIDC SSO via a standards-conformant provider (a mock OIDC provider in e2e; Keycloak in the interop pack later);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(in E2E-R4-EA-01) 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E2E-R4-EA-01</t>
        </is>
      </c>
      <c r="C470" s="3" t="inlineStr">
        <is>
          <t>API: the manager's leave approval email carries a link; reading it (twice) decides nothing and shows who decides; rejecting without a reason and nonsense outcomes refused; approving decides once (request approved, decided by the manager); a second use is 409 and the page says used; unknown tokens 404 | FR-N03, E2E-R4-06</t>
        </is>
      </c>
      <c r="D470" s="3" t="inlineStr">
        <is>
          <t>23-E2E-TEST-PLAN.md</t>
        </is>
      </c>
      <c r="E470" s="3" t="inlineStr">
        <is>
          <t>Not started</t>
        </is>
      </c>
    </row>
    <row r="471">
      <c r="A471" s="3" t="inlineStr">
        <is>
          <t>E2E scenarios (E2E)</t>
        </is>
      </c>
      <c r="B471" s="3" t="inlineStr">
        <is>
          <t>E2E-R4-EA-02</t>
        </is>
      </c>
      <c r="C471" s="3" t="inlineStr">
        <is>
          <t>API: a step decided in My work closes its link (409); with `notify.email_actions.enabled` off the next email has no link | FR-N03</t>
        </is>
      </c>
      <c r="D471" s="3" t="inlineStr">
        <is>
          <t>23-E2E-TEST-PLAN.md</t>
        </is>
      </c>
      <c r="E471" s="3" t="inlineStr">
        <is>
          <t>Not started</t>
        </is>
      </c>
    </row>
    <row r="472">
      <c r="A472" s="3" t="inlineStr">
        <is>
          <t>E2E scenarios (E2E)</t>
        </is>
      </c>
      <c r="B472" s="3" t="inlineStr">
        <is>
          <t>E2E-R4-UI-07</t>
        </is>
      </c>
      <c r="C472" s="3" t="inlineStr">
        <is>
          <t>Browser, signed out: the Reject link opens the confirm page with the request, its answers and “deciding as”; Reject stays off until a reason; confirming rejects with that comment; opening the link again says it was used; axe | FR-N03</t>
        </is>
      </c>
      <c r="D472" s="3" t="inlineStr">
        <is>
          <t>23-E2E-TEST-PLAN.md</t>
        </is>
      </c>
      <c r="E472" s="3" t="inlineStr">
        <is>
          <t>Not started</t>
        </is>
      </c>
    </row>
    <row r="473">
      <c r="A473" s="3" t="inlineStr">
        <is>
          <t>E2E scenarios (E2E)</t>
        </is>
      </c>
      <c r="B473" s="3" t="inlineStr">
        <is>
          <t>E2E-R4-SSO-01</t>
        </is>
      </c>
      <c r="C473" s="3" t="inlineStr">
        <is>
          <t>API: a provider whose discovery doesn't answer is refused (422); saving stores domains lower-cased and never returns the secret; discover finds the workspace for a trusted-domain email and nothing for others; a member signs in through the provider (code + PKCE + nonce) into the workspace with `amr` `sso`,`mfa`; the same state can't be reused; a later sign-in matches by subject although the email changed; a wrong nonce, an unverified email, an untrusted domain and a non-member are each sent back to sign-in with the reason | FR-P02, E2E-R4-01</t>
        </is>
      </c>
      <c r="D473" s="3" t="inlineStr">
        <is>
          <t>23-E2E-TEST-PLAN.md</t>
        </is>
      </c>
      <c r="E473" s="3" t="inlineStr">
        <is>
          <t>Not started</t>
        </is>
      </c>
    </row>
    <row r="474">
      <c r="A474" s="3" t="inlineStr">
        <is>
          <t>E2E scenarios (E2E)</t>
        </is>
      </c>
      <c r="B474" s="3" t="inlineStr">
        <is>
          <t>E2E-R4-SSO-02</t>
        </is>
      </c>
      <c r="C474" s="3" t="inlineStr">
        <is>
          <t>API: with SSO required, a member's earlier password session is refused (403 `sso_required`) while the owner's still works (break-glass); signing in through the provider works; removing SSO lets the password session back in | FR-P02, E2E-R4-01</t>
        </is>
      </c>
      <c r="D474" s="3" t="inlineStr">
        <is>
          <t>23-E2E-TEST-PLAN.md</t>
        </is>
      </c>
      <c r="E474" s="3" t="inlineStr">
        <is>
          <t>Not started</t>
        </is>
      </c>
    </row>
    <row r="475">
      <c r="A475" s="3" t="inlineStr">
        <is>
          <t>E2E scenarios (E2E)</t>
        </is>
      </c>
      <c r="B475" s="3" t="inlineStr">
        <is>
          <t>E2E-R4-UI-08</t>
        </is>
      </c>
      <c r="C475" s="3" t="inlineStr">
        <is>
          <t>Browser: Admin › Single sign-on shows the redirect URL; the owner sets issuer, client, secret and domain and saves (the secret field then says Saved); signed out, a member chooses Sign in with SSO, enters their email, and an unverified email comes back with the reason; then they go through the provider and land in the workspace; axe | BPMS-140</t>
        </is>
      </c>
      <c r="D475" s="3" t="inlineStr">
        <is>
          <t>23-E2E-TEST-PLAN.md</t>
        </is>
      </c>
      <c r="E475" s="3" t="inlineStr">
        <is>
          <t>Not started</t>
        </is>
      </c>
    </row>
    <row r="476">
      <c r="A476" s="3" t="inlineStr">
        <is>
          <t>E2E scenarios (E2E)</t>
        </is>
      </c>
      <c r="B476" s="3" t="inlineStr">
        <is>
          <t>E2E-R5-HR-01</t>
        </is>
      </c>
      <c r="C476" s="3" t="inlineStr">
        <is>
          <t>API: a holiday calendar (duplicate name 409); CSV import with header, quotes, optional and a bad line reported by number; iCal import (a three-day event → three holidays, an existing date renamed); add, rename, remove a holiday; bad date 422; copy a year; a location (unknown time zone and empty week 422) on the calendar; a member placed there by HR record: profile location set, `/me/holidays` lists the location's holidays; members can't change locations, holidays or HR records (403); a free-text profile location creates a work location (UTC, Mon-Fri) and links the member; duplicate employee number 409; rename with a stale `If-Match` 412, then renamed on the profile; archiving a location with people 409; deleting a calendar in use 409 | BPMS-222, HR-01</t>
        </is>
      </c>
      <c r="D476" s="3" t="inlineStr">
        <is>
          <t>23-E2E-TEST-PLAN.md</t>
        </is>
      </c>
      <c r="E476" s="3" t="inlineStr">
        <is>
          <t>Not started</t>
        </is>
      </c>
    </row>
    <row r="477">
      <c r="A477" s="3" t="inlineStr">
        <is>
          <t>E2E scenarios (E2E)</t>
        </is>
      </c>
      <c r="B477" s="3" t="inlineStr">
        <is>
          <t>E2E-R5-UI-01</t>
        </is>
      </c>
      <c r="C477" s="3" t="inlineStr">
        <is>
          <t>Browser: Admin › Holidays and locations from empty: new calendar, add a holiday, paste two more (one optional) with a bad line reported, holidays grouped by month with the optional tag and the count line; add a location working Mon-Sat on the calendar; the list shows its week and calendar; the calendar says which location uses it; axe | BPMS-222</t>
        </is>
      </c>
      <c r="D477" s="3" t="inlineStr">
        <is>
          <t>23-E2E-TEST-PLAN.md</t>
        </is>
      </c>
      <c r="E477" s="3" t="inlineStr">
        <is>
          <t>Not started</t>
        </is>
      </c>
    </row>
    <row r="478">
      <c r="A478" s="3" t="inlineStr">
        <is>
          <t>E2E scenarios (E2E)</t>
        </is>
      </c>
      <c r="B478" s="3" t="inlineStr">
        <is>
          <t>E2E-R5-HR-02</t>
        </is>
      </c>
      <c r="C478" s="3" t="inlineStr">
        <is>
          <t>API: common types and a Standard policy set up once (409 again); a member who started on 1 January has annual leave accrued monthly to date and sick/casual/optional in full, unpaid unlimited; adjustments refuse quarter days and empty reasons, members can't adjust (403); the adjustment shows in their ledger with who made it; members can't read others' balances or HR's grid (403); a location policy with a lower priority takes over through the member's location, its member preview lists them, and switching tops annual leave up to 24 instead of adding 24 | BPMS-223, HR-02/03</t>
        </is>
      </c>
      <c r="D478" s="3" t="inlineStr">
        <is>
          <t>23-E2E-TEST-PLAN.md</t>
        </is>
      </c>
      <c r="E478" s="3" t="inlineStr">
        <is>
          <t>Not started</t>
        </is>
      </c>
    </row>
    <row r="479">
      <c r="A479" s="3" t="inlineStr">
        <is>
          <t>E2E scenarios (E2E)</t>
        </is>
      </c>
      <c r="B479" s="3" t="inlineStr">
        <is>
          <t>E2E-R5-UI-02</t>
        </is>
      </c>
      <c r="C479" s="3" t="inlineStr">
        <is>
          <t>Browser: Admin › Time off from empty: start with common leave types; Balances lists the owner under Standard; Adjust with a reason (+1 day) and the notice; the person drawer's "How it's calculated" shows the HR entry with the reason and who; Policies shows Standard's allowances (18 days monthly, unpaid no limit); Leave types marks sick leave private; the owner's own Time off page shows the policy, leave year and balance cards; axe on each view | BPMS-223</t>
        </is>
      </c>
      <c r="D479" s="3" t="inlineStr">
        <is>
          <t>23-E2E-TEST-PLAN.md</t>
        </is>
      </c>
      <c r="E479" s="3" t="inlineStr">
        <is>
          <t>Not started</t>
        </is>
      </c>
    </row>
    <row r="480">
      <c r="A480" s="3" t="inlineStr">
        <is>
          <t>E2E scenarios (E2E)</t>
        </is>
      </c>
      <c r="B480" s="3" t="inlineStr">
        <is>
          <t>E2E-R5-HR-03</t>
        </is>
      </c>
      <c r="C480" s="3" t="inlineStr">
        <is>
          <t>API: the leave form offers the workspace's types; a Monday–Friday quote with a holiday on the Wednesday is 4 days with the holiday listed and the balance after; starting holds 4 days and lists the request pending; an overlapping day, casual leave over 3 in a row, sick leave over 3 days without a note and an unknown type are refused on their fields; approval takes the days; an afternoon-to-midday request is 1 day and rejecting releases it; the requester cancelling releases it | BPMS-224, HR-04</t>
        </is>
      </c>
      <c r="D480" s="3" t="inlineStr">
        <is>
          <t>23-E2E-TEST-PLAN.md</t>
        </is>
      </c>
      <c r="E480" s="3" t="inlineStr">
        <is>
          <t>Not started</t>
        </is>
      </c>
    </row>
    <row r="481">
      <c r="A481" s="3" t="inlineStr">
        <is>
          <t>E2E scenarios (E2E)</t>
        </is>
      </c>
      <c r="B481" s="3" t="inlineStr">
        <is>
          <t>E2E-R5-UI-03</t>
        </is>
      </c>
      <c r="C481" s="3" t="inlineStr">
        <is>
          <t>Browser: a member requests two days from Time off; the dialog shows "2 days · N available, N−2 after"; after sending, My requests shows it waiting and the card shows the days held and pending; a clashing date shows as a problem and Send stays off; after the manager approves, it shows Approved and 2 days taken; axe | BPMS-224</t>
        </is>
      </c>
      <c r="D481" s="3" t="inlineStr">
        <is>
          <t>23-E2E-TEST-PLAN.md</t>
        </is>
      </c>
      <c r="E481" s="3" t="inlineStr">
        <is>
          <t>Not started</t>
        </is>
      </c>
    </row>
    <row r="482">
      <c r="A482" s="3" t="inlineStr">
        <is>
          <t>E2E scenarios (E2E)</t>
        </is>
      </c>
      <c r="B482" s="3" t="inlineStr">
        <is>
          <t>E2E-R5-HR-04</t>
        </is>
      </c>
      <c r="C482" s="3" t="inlineStr">
        <is>
          <t>API: Ann and Bo report to the owner, Cy to Ann. Bo's team view shows Ann's approved sick leave only as "Out" (gray, no link, no days) and Bo's own pending request in full; Ann doesn't see Bo's pending request but sees her report Cy's pending casual leave with its type; HR's everyone view shows all types; members can't ask for everyone (403) or more than 92 days (422); the org chart nests Cy under Ann under the owner | BPMS-225, HR-05</t>
        </is>
      </c>
      <c r="D482" s="3" t="inlineStr">
        <is>
          <t>23-E2E-TEST-PLAN.md</t>
        </is>
      </c>
      <c r="E482" s="3" t="inlineStr">
        <is>
          <t>Not started</t>
        </is>
      </c>
    </row>
    <row r="483">
      <c r="A483" s="3" t="inlineStr">
        <is>
          <t>E2E scenarios (E2E)</t>
        </is>
      </c>
      <c r="B483" s="3" t="inlineStr">
        <is>
          <t>E2E-R5-UI-04</t>
        </is>
      </c>
      <c r="C483" s="3" t="inlineStr">
        <is>
          <t>Browser: Ann opens Team calendar from Time off: her row says "(you)", her approved sick leave and Cy's pending casual leave are links with their labels; Org chart shows Ann under the owner and a search for Cy highlights only Cy with Ann's branch open; axe on both | BPMS-225</t>
        </is>
      </c>
      <c r="D483" s="3" t="inlineStr">
        <is>
          <t>23-E2E-TEST-PLAN.md</t>
        </is>
      </c>
      <c r="E483" s="3" t="inlineStr">
        <is>
          <t>Not started</t>
        </is>
      </c>
    </row>
    <row r="484">
      <c r="A484" s="3" t="inlineStr">
        <is>
          <t>E2E scenarios (E2E)</t>
        </is>
      </c>
      <c r="B484" s="3" t="inlineStr">
        <is>
          <t>E2E-R4-TOK-01</t>
        </is>
      </c>
      <c r="C484" s="3" t="inlineStr">
        <is>
          <t>API: a personal token (`prc_live_…`, shown once) reads within its permissions; refused outside them (members, audit), for decisions, the account and token management; a wrong secret is 401; last used is recorded; revoked → 401 at once | 06 §3.5, BPMS-144</t>
        </is>
      </c>
      <c r="D484" s="3" t="inlineStr">
        <is>
          <t>23-E2E-TEST-PLAN.md</t>
        </is>
      </c>
      <c r="E484" s="3" t="inlineStr">
        <is>
          <t>Not started</t>
        </is>
      </c>
    </row>
    <row r="485">
      <c r="A485" s="3" t="inlineStr">
        <is>
          <t>E2E scenarios (E2E)</t>
        </is>
      </c>
      <c r="B485" s="3" t="inlineStr">
        <is>
          <t>E2E-R4-TOK-02</t>
        </is>
      </c>
      <c r="C485" s="3" t="inlineStr">
        <is>
          <t>API: a member can't give a token permissions they lack (403) or unknown ones (422), nor list or revoke others' tokens | 12 §4</t>
        </is>
      </c>
      <c r="D485" s="3" t="inlineStr">
        <is>
          <t>23-E2E-TEST-PLAN.md</t>
        </is>
      </c>
      <c r="E485" s="3" t="inlineStr">
        <is>
          <t>Not started</t>
        </is>
      </c>
    </row>
    <row r="486">
      <c r="A486" s="3" t="inlineStr">
        <is>
          <t>E2E scenarios (E2E)</t>
        </is>
      </c>
      <c r="B486" s="3" t="inlineStr">
        <is>
          <t>E2E-R4-UI-01</t>
        </is>
      </c>
      <c r="C486" s="3" t="inlineStr">
        <is>
          <t>Browser: Account › API tokens — make a read-only token, copy it from the show-once dialog, a script reads with it and is refused an invite, revoke it in the list → 401; axe | BPMS-144</t>
        </is>
      </c>
      <c r="D486" s="3" t="inlineStr">
        <is>
          <t>23-E2E-TEST-PLAN.md</t>
        </is>
      </c>
      <c r="E486" s="3" t="inlineStr">
        <is>
          <t>Not started</t>
        </is>
      </c>
    </row>
    <row r="487">
      <c r="A487" s="3" t="inlineStr">
        <is>
          <t>E2E scenarios (E2E)</t>
        </is>
      </c>
      <c r="B487" s="3" t="inlineStr">
        <is>
          <t>E2E-R4-ISO</t>
        </is>
      </c>
      <c r="C487" s="3" t="inlineStr">
        <is>
          <t>Isolation sweep incl. tokens, webhooks, connectors | SEC-</t>
        </is>
      </c>
      <c r="D487" s="3" t="inlineStr">
        <is>
          <t>23-E2E-TEST-PLAN.md</t>
        </is>
      </c>
      <c r="E487" s="3" t="inlineStr">
        <is>
          <t>Not started</t>
        </is>
      </c>
    </row>
    <row r="488">
      <c r="A488" s="3" t="inlineStr">
        <is>
          <t>E2E scenarios (E2E)</t>
        </is>
      </c>
      <c r="B488" s="3" t="inlineStr">
        <is>
          <t>E2E-R5-01</t>
        </is>
      </c>
      <c r="C488" s="3" t="inlineStr">
        <is>
          <t>Incident case (J4): intake → evidence → ad hoc tasks → closure blocked until checklist done → audit export | J4, FR-C01/C02</t>
        </is>
      </c>
      <c r="D488" s="3" t="inlineStr">
        <is>
          <t>23-E2E-TEST-PLAN.md</t>
        </is>
      </c>
      <c r="E488" s="3" t="inlineStr">
        <is>
          <t>Not started</t>
        </is>
      </c>
    </row>
    <row r="489">
      <c r="A489" s="3" t="inlineStr">
        <is>
          <t>E2E scenarios (E2E)</t>
        </is>
      </c>
      <c r="B489" s="3" t="inlineStr">
        <is>
          <t>E2E-R5-02</t>
        </is>
      </c>
      <c r="C489" s="3" t="inlineStr">
        <is>
          <t>Restricted HR case invisible in global search, reports, dashboards, notifications; admin self-grant is audited and visible to case team | FX-K06, OQ-12</t>
        </is>
      </c>
      <c r="D489" s="3" t="inlineStr">
        <is>
          <t>23-E2E-TEST-PLAN.md</t>
        </is>
      </c>
      <c r="E489" s="3" t="inlineStr">
        <is>
          <t>Not started</t>
        </is>
      </c>
    </row>
    <row r="490">
      <c r="A490" s="3" t="inlineStr">
        <is>
          <t>E2E scenarios (E2E)</t>
        </is>
      </c>
      <c r="B490" s="3" t="inlineStr">
        <is>
          <t>E2E-R5-03</t>
        </is>
      </c>
      <c r="C490" s="3" t="inlineStr">
        <is>
          <t>Investigation (J10): filter `data_access` on `salary` → pin events/files → legal hold → signed export → `procera-verify` offline passes; edited bundle fails | J10, FR-T05/T06, AUD-05</t>
        </is>
      </c>
      <c r="D490" s="3" t="inlineStr">
        <is>
          <t>23-E2E-TEST-PLAN.md</t>
        </is>
      </c>
      <c r="E490" s="3" t="inlineStr">
        <is>
          <t>Not started</t>
        </is>
      </c>
    </row>
    <row r="491">
      <c r="A491" s="3" t="inlineStr">
        <is>
          <t>E2E scenarios (E2E)</t>
        </is>
      </c>
      <c r="B491" s="3" t="inlineStr">
        <is>
          <t>E2E-R5-04</t>
        </is>
      </c>
      <c r="C491" s="3" t="inlineStr">
        <is>
          <t>Legal hold blocks retention purge and file deletion; release by authorised role resumes | PRV-03</t>
        </is>
      </c>
      <c r="D491" s="3" t="inlineStr">
        <is>
          <t>23-E2E-TEST-PLAN.md</t>
        </is>
      </c>
      <c r="E491" s="3" t="inlineStr">
        <is>
          <t>Not started</t>
        </is>
      </c>
    </row>
    <row r="492">
      <c r="A492" s="3" t="inlineStr">
        <is>
          <t>E2E scenarios (E2E)</t>
        </is>
      </c>
      <c r="B492" s="3" t="inlineStr">
        <is>
          <t>E2E-R5-05</t>
        </is>
      </c>
      <c r="C492" s="3" t="inlineStr">
        <is>
          <t>Part 11 mode: approval requires re-auth; manifestation shows name/time/meaning; signature bound to record hash | ESIG-01–05</t>
        </is>
      </c>
      <c r="D492" s="3" t="inlineStr">
        <is>
          <t>23-E2E-TEST-PLAN.md</t>
        </is>
      </c>
      <c r="E492" s="3" t="inlineStr">
        <is>
          <t>Not started</t>
        </is>
      </c>
    </row>
    <row r="493">
      <c r="A493" s="3" t="inlineStr">
        <is>
          <t>E2E scenarios (E2E)</t>
        </is>
      </c>
      <c r="B493" s="3" t="inlineStr">
        <is>
          <t>E2E-R5-06</t>
        </is>
      </c>
      <c r="C493" s="3" t="inlineStr">
        <is>
          <t>Attestation campaign + access review; unconfirmed grants expire | FR-G06, FR-W11</t>
        </is>
      </c>
      <c r="D493" s="3" t="inlineStr">
        <is>
          <t>23-E2E-TEST-PLAN.md</t>
        </is>
      </c>
      <c r="E493" s="3" t="inlineStr">
        <is>
          <t>Not started</t>
        </is>
      </c>
    </row>
    <row r="494">
      <c r="A494" s="3" t="inlineStr">
        <is>
          <t>E2E scenarios (E2E)</t>
        </is>
      </c>
      <c r="B494" s="3" t="inlineStr">
        <is>
          <t>E2E-R5-07</t>
        </is>
      </c>
      <c r="C494" s="3" t="inlineStr">
        <is>
          <t>Break-glass: system admin request → workspace approval → read-only session banner → auto-expiry → visible in workspace audit | FR-S07</t>
        </is>
      </c>
      <c r="D494" s="3" t="inlineStr">
        <is>
          <t>23-E2E-TEST-PLAN.md</t>
        </is>
      </c>
      <c r="E494" s="3" t="inlineStr">
        <is>
          <t>Not started</t>
        </is>
      </c>
    </row>
    <row r="495">
      <c r="A495" s="3" t="inlineStr">
        <is>
          <t>E2E scenarios (E2E)</t>
        </is>
      </c>
      <c r="B495" s="3" t="inlineStr">
        <is>
          <t>E2E-R5-08</t>
        </is>
      </c>
      <c r="C495" s="3" t="inlineStr">
        <is>
          <t>Separation mode on → workspace admin loses content access → audited self-grant flow | 12 §6.1</t>
        </is>
      </c>
      <c r="D495" s="3" t="inlineStr">
        <is>
          <t>23-E2E-TEST-PLAN.md</t>
        </is>
      </c>
      <c r="E495" s="3" t="inlineStr">
        <is>
          <t>Not started</t>
        </is>
      </c>
    </row>
    <row r="496">
      <c r="A496" s="3" t="inlineStr">
        <is>
          <t>E2E scenarios (E2E)</t>
        </is>
      </c>
      <c r="B496" s="3" t="inlineStr">
        <is>
          <t>E2E-R5-09</t>
        </is>
      </c>
      <c r="C496" s="3" t="inlineStr">
        <is>
          <t>Scheduled report re-applies permissions at run time (user lost access → no data sent) | FX-A02</t>
        </is>
      </c>
      <c r="D496" s="3" t="inlineStr">
        <is>
          <t>23-E2E-TEST-PLAN.md</t>
        </is>
      </c>
      <c r="E496" s="3" t="inlineStr">
        <is>
          <t>Not started</t>
        </is>
      </c>
    </row>
    <row r="497">
      <c r="A497" s="3" t="inlineStr">
        <is>
          <t>E2E scenarios (E2E)</t>
        </is>
      </c>
      <c r="B497" s="3" t="inlineStr">
        <is>
          <t>E2E-R5-10</t>
        </is>
      </c>
      <c r="C497" s="3" t="inlineStr">
        <is>
          <t>AI drafting (when enabled): output is a draft, labelled, provenance in audit; cannot publish or approve | ADR-0006</t>
        </is>
      </c>
      <c r="D497" s="3" t="inlineStr">
        <is>
          <t>23-E2E-TEST-PLAN.md</t>
        </is>
      </c>
      <c r="E497" s="3" t="inlineStr">
        <is>
          <t>Not started</t>
        </is>
      </c>
    </row>
    <row r="498">
      <c r="A498" s="3" t="inlineStr">
        <is>
          <t>E2E scenarios (E2E)</t>
        </is>
      </c>
      <c r="B498" s="3" t="inlineStr">
        <is>
          <t>E2E-R5-ISO</t>
        </is>
      </c>
      <c r="C498" s="3" t="inlineStr">
        <is>
          <t>Isolation sweep incl. cases, investigations, evidence | SEC-</t>
        </is>
      </c>
      <c r="D498" s="3" t="inlineStr">
        <is>
          <t>23-E2E-TEST-PLAN.md</t>
        </is>
      </c>
      <c r="E49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row r="18">
      <c r="A18" s="3" t="inlineStr">
        <is>
          <t>22-UNKNOWNS-ASSUMPTIONS-AND-OPEN-QUESTIONS.md</t>
        </is>
      </c>
      <c r="B18" s="3" t="inlineStr">
        <is>
          <t>OQ-17</t>
        </is>
      </c>
      <c r="C18" s="3" t="inlineStr">
        <is>
          <t>Leave years: the calendar year for everyone, or a start month per policy (e.g. April for Indian financial years)? (docs/25 §12)</t>
        </is>
      </c>
      <c r="D18" s="3" t="inlineStr">
        <is>
          <t>Per policy in the model (`year_start_month`), defaulting to the workspace setting; the policy screen shows it only when it differs</t>
        </is>
      </c>
      <c r="E18" s="3" t="inlineStr">
        <is>
          <t>Product owner</t>
        </is>
      </c>
      <c r="F18" s="3" t="inlineStr">
        <is>
          <t>0.5</t>
        </is>
      </c>
      <c r="G18" s="3" t="inlineStr"/>
    </row>
    <row r="19">
      <c r="A19" s="3" t="inlineStr">
        <is>
          <t>22-UNKNOWNS-ASSUMPTIONS-AND-OPEN-QUESTIONS.md</t>
        </is>
      </c>
      <c r="B19" s="3" t="inlineStr">
        <is>
          <t>OQ-18</t>
        </is>
      </c>
      <c r="C19" s="3" t="inlineStr">
        <is>
          <t>~~Clock-in from outside the office~~ **Decided 2026-10-14 (owner): allowed by default**, the IP recorded and shown on the day; an optional `attendance.ip_allowlist` setting restricts it.</t>
        </is>
      </c>
      <c r="D19" s="3" t="inlineStr">
        <is>
          <t>—</t>
        </is>
      </c>
      <c r="E19" s="3" t="inlineStr">
        <is>
          <t>Product owner</t>
        </is>
      </c>
      <c r="F19" s="3" t="inlineStr">
        <is>
          <t>Closed</t>
        </is>
      </c>
      <c r="G19" s="3" t="inlineStr"/>
    </row>
    <row r="20">
      <c r="A20" s="3" t="inlineStr">
        <is>
          <t>22-UNKNOWNS-ASSUMPTIONS-AND-OPEN-QUESTIONS.md</t>
        </is>
      </c>
      <c r="B20" s="3" t="inlineStr">
        <is>
          <t>OQ-19</t>
        </is>
      </c>
      <c r="C20" s="3" t="inlineStr">
        <is>
          <t>~~A holiday added after leave was approved over that date~~ **Decided 2026-10-14 (owner): re-credit automatically** with a ledger entry and a notification to the person.</t>
        </is>
      </c>
      <c r="D20" s="3" t="inlineStr">
        <is>
          <t>—</t>
        </is>
      </c>
      <c r="E20" s="3" t="inlineStr">
        <is>
          <t>Product owner</t>
        </is>
      </c>
      <c r="F20" s="3" t="inlineStr">
        <is>
          <t>Closed</t>
        </is>
      </c>
      <c r="G20"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A-51 (BPMS-222..229, 0.5)</t>
        </is>
      </c>
      <c r="C45" s="3" t="inlineStr">
        <is>
          <t>HR time and attendance decisions (docs/25): (1) balances are the sum of an append-only ledger (grant, accrual, hold, release, taken, cancelled, adjustment, carry-over, expiry), never a stored number; corrections are counter-entries; (2) leave requests, cancellations and regularizations run as processes on the engine, calling typed service tasks for checks and ledger entries; (3) colleagues see "Out" without the type; sensitive types (sick, medical, parental by default) are visible to the person, their manager chain and HR, and HR's reads are access-logged; (4) days are counted against the person's work location (work week, holiday calendar) and roster; (5) daily attendance status is derived by a pure function and locked when HR closes the month; (6) admin balance adjustments need a reason and step-up; (7) hourly leave, overtime pay, shift swaps, compensatory off, geofencing and device drivers are later; (8) payroll and payslips are a separate future release (BPMS-230/231).</t>
        </is>
      </c>
      <c r="D45" s="3" t="inlineStr">
        <is>
          <t>Owner direction 2026-10-14</t>
        </is>
      </c>
      <c r="E45" s="3" t="inlineStr"/>
    </row>
    <row r="46">
      <c r="A46" s="3" t="inlineStr">
        <is>
          <t>22-UNKNOWNS-ASSUMPTIONS-AND-OPEN-QUESTIONS.md</t>
        </is>
      </c>
      <c r="B46" s="3" t="inlineStr">
        <is>
          <t>A-50 (BPMS-140, 0.4)</t>
        </is>
      </c>
      <c r="C46" s="3" t="inlineStr">
        <is>
          <t>SSO v1 decisions: (1) OpenID Connect only (authorization code + PKCE, confidential client); the SAML broker comes later; (2) one provider per workspace; (3) no just-in-time accounts yet: only existing active members can sign in through it (they are matched by email the first time, then by the provider's subject), invitations still create members; (4) trusted email domains are a list the admin types, not proven by DNS TXT records; a domain may be trusted by several workspaces, and sign-in then asks which; (5) requiring SSO refuses password and passkey sessions for everyone except workspace owners, who keep password + two-step as break-glass; API tokens keep working; (6) an SSO session counts as two-step verified for the admin MFA gate (the provider is the factor), and as `mfa` only when the provider's `amr` reports a second factor; (7) provider calls go through the webhook egress guard (`PROCERA_EGRESS_ALLOW` for internal providers); (8) sign-out at the provider (RP-initiated / back-channel logout) is later.</t>
        </is>
      </c>
      <c r="D46" s="3" t="inlineStr">
        <is>
          <t>Owner can change any</t>
        </is>
      </c>
      <c r="E46" s="3" t="inlineStr"/>
    </row>
    <row r="47">
      <c r="A47" s="3" t="inlineStr">
        <is>
          <t>22-UNKNOWNS-ASSUMPTIONS-AND-OPEN-QUESTIONS.md</t>
        </is>
      </c>
      <c r="B47" s="3" t="inlineStr">
        <is>
          <t>A-49 (BPMS-145, 0.4)</t>
        </is>
      </c>
      <c r="C47" s="3" t="inlineStr">
        <is>
          <t>Email approvals v1: (1) the link is the credential for one decision (no sign-in), so a forwarded email lets the recipient decide as the addressee; mitigations: single use, every link of the step spent on use, expiry at the step's due date or 7 days, the page and email say who decides (“don't forward it”), audit `work.decided_by_email`, and a workspace switch `notify.email_actions.enabled`; (2) only plain approvals (no fields to fill in) get links; others still open Procera; (3) no Part 11 re-authentication path exists for requests yet, so none is needed here; when it does, those steps won't get links (FR-N03); (4) reply-by-email and web push (FR-N05) come later.</t>
        </is>
      </c>
      <c r="D47" s="3" t="inlineStr">
        <is>
          <t>Owner can change (e.g. require sign-in, shorter expiry)</t>
        </is>
      </c>
      <c r="E47" s="3" t="inlineStr"/>
    </row>
    <row r="48">
      <c r="A48" s="3" t="inlineStr">
        <is>
          <t>22-UNKNOWNS-ASSUMPTIONS-AND-OPEN-QUESTIONS.md</t>
        </is>
      </c>
      <c r="B48" s="3" t="inlineStr">
        <is>
          <t>A-48 (BPMS-143, 0.4)</t>
        </is>
      </c>
      <c r="C48"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8" s="3" t="inlineStr">
        <is>
          <t>Owner can change any</t>
        </is>
      </c>
      <c r="E48" s="3" t="inlineStr"/>
    </row>
    <row r="49">
      <c r="A49" s="3" t="inlineStr">
        <is>
          <t>22-UNKNOWNS-ASSUMPTIONS-AND-OPEN-QUESTIONS.md</t>
        </is>
      </c>
      <c r="B49" s="3" t="inlineStr">
        <is>
          <t>A-47 (BPMS-107, 0.4)</t>
        </is>
      </c>
      <c r="C49"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9" s="3" t="inlineStr">
        <is>
          <t>Owner can change any; (3) and (7) are tracked under BPMS-107/147</t>
        </is>
      </c>
      <c r="E49" s="3" t="inlineStr"/>
    </row>
    <row r="50">
      <c r="A50" s="3" t="inlineStr">
        <is>
          <t>22-UNKNOWNS-ASSUMPTIONS-AND-OPEN-QUESTIONS.md</t>
        </is>
      </c>
      <c r="B50" s="3" t="inlineStr">
        <is>
          <t>A-46 (BPMS-085/088, 0.2)</t>
        </is>
      </c>
      <c r="C50"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50" s="3" t="inlineStr">
        <is>
          <t>Owner direction 2026-10-13 (0.2 scope)</t>
        </is>
      </c>
      <c r="E50" s="3" t="inlineStr">
        <is>
          <t>Low</t>
        </is>
      </c>
    </row>
    <row r="51">
      <c r="A51" s="3" t="inlineStr">
        <is>
          <t>22-UNKNOWNS-ASSUMPTIONS-AND-OPEN-QUESTIONS.md</t>
        </is>
      </c>
      <c r="B51" s="3" t="inlineStr">
        <is>
          <t>A-44 (BPMS-023/046)</t>
        </is>
      </c>
      <c r="C51"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51" s="3" t="inlineStr">
        <is>
          <t>Owner direction 2026-10-13</t>
        </is>
      </c>
      <c r="E51"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HR</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R5</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GA</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row r="10">
      <c r="A10" t="inlineStr">
        <is>
          <t>POST</t>
        </is>
      </c>
      <c r="B10">
        <f>COUNTIFS(Backlog!$E:$E,$A10,Backlog!$K:$K,"Not started")</f>
        <v/>
      </c>
      <c r="C10">
        <f>COUNTIFS(Backlog!$E:$E,$A10,Backlog!$K:$K,"In progress")</f>
        <v/>
      </c>
      <c r="D10">
        <f>COUNTIFS(Backlog!$E:$E,$A10,Backlog!$K:$K,"Blocked")</f>
        <v/>
      </c>
      <c r="E10">
        <f>COUNTIFS(Backlog!$E:$E,$A10,Backlog!$K:$K,"In review")</f>
        <v/>
      </c>
      <c r="F10">
        <f>COUNTIFS(Backlog!$E:$E,$A10,Backlog!$K:$K,"Done")</f>
        <v/>
      </c>
      <c r="G10">
        <f>COUNTIFS(Backlog!$E:$E,$A10,Backlog!$K:$K,"Deferred")</f>
        <v/>
      </c>
      <c r="H10">
        <f>COUNTIF(Backlog!$E:$E,$A10)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2026-10-15T18:34:39Z</dcterms:created>
  <dcterms:modified xsi:type="dcterms:W3CDTF">2026-10-15T18:34:39Z</dcterms:modified>
</cp:coreProperties>
</file>