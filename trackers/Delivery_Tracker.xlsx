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Milestones" sheetId="2" state="visible" r:id="rId2"/>
    <sheet name="Backlog" sheetId="3" state="visible" r:id="rId3"/>
    <sheet name="Domain Backlog" sheetId="4" state="visible" r:id="rId4"/>
    <sheet name="Risks" sheetId="5" state="visible" r:id="rId5"/>
    <sheet name="Decisions" sheetId="6" state="visible" r:id="rId6"/>
    <sheet name="Security Tests" sheetId="7" state="visible" r:id="rId7"/>
    <sheet name="Test Matrix" sheetId="8" state="visible" r:id="rId8"/>
    <sheet name="Open Questions" sheetId="9" state="visible" r:id="rId9"/>
    <sheet name="Unknowns" sheetId="10" state="visible" r:id="rId10"/>
    <sheet name="Assumptions" sheetId="11" state="visible" r:id="rId11"/>
    <sheet name="RACI" sheetId="12" state="visible" r:id="rId12"/>
    <sheet name="Burndown" sheetId="13" state="visible" r:id="rId1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xf>
    <xf numFmtId="0" fontId="0" fillId="0" borderId="0" applyAlignment="1" pivotButton="0" quotePrefix="0" xfId="0">
      <alignment vertical="top" wrapText="1"/>
    </xf>
    <xf numFmtId="0" fontId="2" fillId="2" borderId="0" pivotButton="0" quotePrefix="0" xfId="0"/>
  </cellXfs>
  <cellStyles count="1">
    <cellStyle name="Normal" xfId="0" builtinId="0" hidden="0"/>
  </cellStyles>
  <dxfs count="3">
    <dxf>
      <fill>
        <patternFill patternType="solid">
          <fgColor rgb="00FECACA"/>
        </patternFill>
      </fill>
    </dxf>
    <dxf>
      <fill>
        <patternFill patternType="solid">
          <fgColor rgb="00BBF7D0"/>
        </patternFill>
      </fill>
    </dxf>
    <dxf>
      <fill>
        <patternFill patternType="solid">
          <fgColor rgb="00FDE68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ables/table1.xml><?xml version="1.0" encoding="utf-8"?>
<table xmlns="http://schemas.openxmlformats.org/spreadsheetml/2006/main" id="1" name="MilestonesT" displayName="MilestonesT" ref="A1:G9" headerRowCount="1">
  <autoFilter ref="A1:G9"/>
  <tableColumns count="7">
    <tableColumn id="1" name="M"/>
    <tableColumn id="2" name="Name"/>
    <tableColumn id="3" name="Start"/>
    <tableColumn id="4" name="End"/>
    <tableColumn id="5" name="Gate"/>
    <tableColumn id="6" name="Scope"/>
    <tableColumn id="7" name="Status"/>
  </tableColumns>
  <tableStyleInfo name="TableStyleLight9" showRowStripes="1"/>
</table>
</file>

<file path=xl/tables/table2.xml><?xml version="1.0" encoding="utf-8"?>
<table xmlns="http://schemas.openxmlformats.org/spreadsheetml/2006/main" id="2" name="BacklogT" displayName="BacklogT" ref="A1:P123" headerRowCount="1">
  <autoFilter ref="A1:P123"/>
  <tableColumns count="16">
    <tableColumn id="1" name="ID"/>
    <tableColumn id="2" name="Area"/>
    <tableColumn id="3" name="Work item"/>
    <tableColumn id="4" name="Pri"/>
    <tableColumn id="5" name="Release"/>
    <tableColumn id="6" name="Owner role"/>
    <tableColumn id="7" name="Refs"/>
    <tableColumn id="8" name="Acceptance"/>
    <tableColumn id="9" name="Size"/>
    <tableColumn id="10" name="Depends"/>
    <tableColumn id="11" name="Status"/>
    <tableColumn id="12" name="Evidence"/>
    <tableColumn id="13" name="Assignee"/>
    <tableColumn id="14" name="Start"/>
    <tableColumn id="15" name="Due"/>
    <tableColumn id="16" name="Notes"/>
  </tableColumns>
  <tableStyleInfo name="TableStyleLight9" showRowStripes="1"/>
</table>
</file>

<file path=xl/tables/table3.xml><?xml version="1.0" encoding="utf-8"?>
<table xmlns="http://schemas.openxmlformats.org/spreadsheetml/2006/main" id="3" name="DomainBacklogT" displayName="DomainBacklogT" ref="A1:E464" headerRowCount="1">
  <autoFilter ref="A1:E464"/>
  <tableColumns count="5">
    <tableColumn id="1" name="Domain"/>
    <tableColumn id="2" name="ID"/>
    <tableColumn id="3" name="Details (as in source doc)"/>
    <tableColumn id="4" name="Source doc"/>
    <tableColumn id="5" name="Status"/>
  </tableColumns>
  <tableStyleInfo name="TableStyleLight9" showRowStripes="1"/>
</table>
</file>

<file path=xl/tables/table4.xml><?xml version="1.0" encoding="utf-8"?>
<table xmlns="http://schemas.openxmlformats.org/spreadsheetml/2006/main" id="4" name="RisksT" displayName="RisksT" ref="A1:G18" headerRowCount="1">
  <autoFilter ref="A1:G18"/>
  <tableColumns count="7">
    <tableColumn id="1" name="ID"/>
    <tableColumn id="2" name="Risk"/>
    <tableColumn id="3" name="Severity"/>
    <tableColumn id="4" name="Likelihood"/>
    <tableColumn id="5" name="Mitigation"/>
    <tableColumn id="6" name="Owner"/>
    <tableColumn id="7" name="Trend"/>
  </tableColumns>
  <tableStyleInfo name="TableStyleLight9" showRowStripes="1"/>
</table>
</file>

<file path=xl/tables/table5.xml><?xml version="1.0" encoding="utf-8"?>
<table xmlns="http://schemas.openxmlformats.org/spreadsheetml/2006/main" id="5" name="DecisionsT" displayName="DecisionsT" ref="A1:D21" headerRowCount="1">
  <autoFilter ref="A1:D21"/>
  <tableColumns count="4">
    <tableColumn id="1" name="ADR"/>
    <tableColumn id="2" name="Decision"/>
    <tableColumn id="3" name="Status"/>
    <tableColumn id="4" name="File"/>
  </tableColumns>
  <tableStyleInfo name="TableStyleLight9" showRowStripes="1"/>
</table>
</file>

<file path=xl/tables/table6.xml><?xml version="1.0" encoding="utf-8"?>
<table xmlns="http://schemas.openxmlformats.org/spreadsheetml/2006/main" id="6" name="SecurityTestsT" displayName="SecurityTestsT" ref="A1:F38" headerRowCount="1">
  <autoFilter ref="A1:F38"/>
  <tableColumns count="6">
    <tableColumn id="1" name="Source"/>
    <tableColumn id="2" name="ID"/>
    <tableColumn id="3" name="Test"/>
    <tableColumn id="4" name="Pass condition"/>
    <tableColumn id="5" name="Phase/M"/>
    <tableColumn id="6" name="Extra"/>
  </tableColumns>
  <tableStyleInfo name="TableStyleLight9" showRowStripes="1"/>
</table>
</file>

<file path=xl/tables/table7.xml><?xml version="1.0" encoding="utf-8"?>
<table xmlns="http://schemas.openxmlformats.org/spreadsheetml/2006/main" id="7" name="TestMatrixT" displayName="TestMatrixT" ref="A1:G41" headerRowCount="1">
  <autoFilter ref="A1:G41"/>
  <tableColumns count="7">
    <tableColumn id="1" name="Source"/>
    <tableColumn id="2" name="ID"/>
    <tableColumn id="3" name="Test"/>
    <tableColumn id="4" name="Category"/>
    <tableColumn id="5" name="Pass condition"/>
    <tableColumn id="6" name="Milestone"/>
    <tableColumn id="7" name="Status"/>
  </tableColumns>
  <tableStyleInfo name="TableStyleLight9" showRowStripes="1"/>
</table>
</file>

<file path=xl/tables/table8.xml><?xml version="1.0" encoding="utf-8"?>
<table xmlns="http://schemas.openxmlformats.org/spreadsheetml/2006/main" id="8" name="OpenQuestionsT" displayName="OpenQuestionsT" ref="A1:G16" headerRowCount="1">
  <autoFilter ref="A1:G16"/>
  <tableColumns count="7">
    <tableColumn id="1" name="Source"/>
    <tableColumn id="2" name="ID"/>
    <tableColumn id="3" name="Question"/>
    <tableColumn id="4" name="Recommendation"/>
    <tableColumn id="5" name="Owner"/>
    <tableColumn id="6" name="Decide by"/>
    <tableColumn id="7" name="Decision"/>
  </tableColumns>
  <tableStyleInfo name="TableStyleLight9" showRowStripes="1"/>
</table>
</file>

<file path=xl/tables/table9.xml><?xml version="1.0" encoding="utf-8"?>
<table xmlns="http://schemas.openxmlformats.org/spreadsheetml/2006/main" id="9" name="UnknownsT" displayName="UnknownsT" ref="A1:F17" headerRowCount="1">
  <autoFilter ref="A1:F17"/>
  <tableColumns count="6">
    <tableColumn id="1" name="Source"/>
    <tableColumn id="2" name="ID"/>
    <tableColumn id="3" name="Unknown"/>
    <tableColumn id="4" name="Why it matters"/>
    <tableColumn id="5" name="Resolution"/>
    <tableColumn id="6" name="Decide by"/>
  </tableColumns>
  <tableStyleInfo name="TableStyleLight9" showRowStripes="1"/>
</table>
</file>

<file path=xl/tables/table10.xml><?xml version="1.0" encoding="utf-8"?>
<table xmlns="http://schemas.openxmlformats.org/spreadsheetml/2006/main" id="10" name="AssumptionsT" displayName="AssumptionsT" ref="A1:E46" headerRowCount="1">
  <autoFilter ref="A1:E46"/>
  <tableColumns count="5">
    <tableColumn id="1" name="Source"/>
    <tableColumn id="2" name="ID"/>
    <tableColumn id="3" name="Assumption"/>
    <tableColumn id="4" name="Check"/>
    <tableColumn id="5" name="If false"/>
  </tableColumns>
  <tableStyleInfo name="TableStyleLight9" showRowStripes="1"/>
</table>
</file>

<file path=xl/tables/table11.xml><?xml version="1.0" encoding="utf-8"?>
<table xmlns="http://schemas.openxmlformats.org/spreadsheetml/2006/main" id="11" name="RACIT" displayName="RACIT" ref="A1:F11" headerRowCount="1">
  <autoFilter ref="A1:F11"/>
  <tableColumns count="6">
    <tableColumn id="1" name="Activity"/>
    <tableColumn id="2" name="Process Owner"/>
    <tableColumn id="3" name="Designer"/>
    <tableColumn id="4" name="Reviewer/Compliance"/>
    <tableColumn id="5" name="Workspace Admin"/>
    <tableColumn id="6" name="System Admin"/>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0" customWidth="1" min="1" max="1"/>
    <col width="70" customWidth="1" min="2" max="2"/>
  </cols>
  <sheetData>
    <row r="1">
      <c r="A1" s="1" t="inlineStr">
        <is>
          <t>Procera — Delivery Tracker (generated 2026-10-11 by scripts/build_tracker.py)</t>
        </is>
      </c>
    </row>
    <row r="3">
      <c r="A3" t="inlineStr">
        <is>
          <t>Sheet</t>
        </is>
      </c>
      <c r="B3" t="inlineStr">
        <is>
          <t>Contents</t>
        </is>
      </c>
    </row>
    <row r="4">
      <c r="A4" t="inlineStr">
        <is>
          <t>Milestones</t>
        </is>
      </c>
      <c r="B4" t="inlineStr">
        <is>
          <t>Phased releases P0, R1–R5, GA, POST with dates and gates</t>
        </is>
      </c>
    </row>
    <row r="5">
      <c r="A5" t="inlineStr">
        <is>
          <t>Backlog</t>
        </is>
      </c>
      <c r="B5" t="inlineStr">
        <is>
          <t>Core epics BPMS-xxx with status</t>
        </is>
      </c>
    </row>
    <row r="6">
      <c r="A6" t="inlineStr">
        <is>
          <t>Domain Backlog</t>
        </is>
      </c>
      <c r="B6" t="inlineStr">
        <is>
          <t>TPL/UX/INT/CFG/AI items parsed from docs</t>
        </is>
      </c>
    </row>
    <row r="7">
      <c r="A7" t="inlineStr">
        <is>
          <t>Risks</t>
        </is>
      </c>
      <c r="B7" t="inlineStr">
        <is>
          <t>Risk register</t>
        </is>
      </c>
    </row>
    <row r="8">
      <c r="A8" t="inlineStr">
        <is>
          <t>Decisions</t>
        </is>
      </c>
      <c r="B8" t="inlineStr">
        <is>
          <t>ADR status</t>
        </is>
      </c>
    </row>
    <row r="9">
      <c r="A9" t="inlineStr">
        <is>
          <t>Security Tests</t>
        </is>
      </c>
      <c r="B9" t="inlineStr">
        <is>
          <t>SEC-xx from 06</t>
        </is>
      </c>
    </row>
    <row r="10">
      <c r="A10" t="inlineStr">
        <is>
          <t>Test Matrix</t>
        </is>
      </c>
      <c r="B10" t="inlineStr">
        <is>
          <t>T01–T40 from 15</t>
        </is>
      </c>
    </row>
    <row r="11">
      <c r="A11" t="inlineStr">
        <is>
          <t>Open Questions</t>
        </is>
      </c>
      <c r="B11" t="inlineStr">
        <is>
          <t>OQ-xx</t>
        </is>
      </c>
    </row>
    <row r="12">
      <c r="A12" t="inlineStr">
        <is>
          <t>Unknowns</t>
        </is>
      </c>
      <c r="B12" t="inlineStr">
        <is>
          <t>U-xx</t>
        </is>
      </c>
    </row>
    <row r="13">
      <c r="A13" t="inlineStr">
        <is>
          <t>Assumptions</t>
        </is>
      </c>
      <c r="B13" t="inlineStr">
        <is>
          <t>A-xx</t>
        </is>
      </c>
    </row>
    <row r="14">
      <c r="A14" t="inlineStr">
        <is>
          <t>RACI</t>
        </is>
      </c>
      <c r="B14" t="inlineStr">
        <is>
          <t>Delivery RACI</t>
        </is>
      </c>
    </row>
    <row r="15">
      <c r="A15" t="inlineStr">
        <is>
          <t>Burndown</t>
        </is>
      </c>
      <c r="B15" t="inlineStr">
        <is>
          <t>Count of epics by milestone and status (formulas)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12" customWidth="1" min="3" max="3"/>
    <col width="12" customWidth="1" min="4" max="4"/>
    <col width="8" customWidth="1" min="5" max="5"/>
    <col width="70" customWidth="1" min="6" max="6"/>
    <col width="14" customWidth="1" min="7" max="7"/>
  </cols>
  <sheetData>
    <row r="1">
      <c r="A1" s="2" t="inlineStr">
        <is>
          <t>M</t>
        </is>
      </c>
      <c r="B1" s="2" t="inlineStr">
        <is>
          <t>Name</t>
        </is>
      </c>
      <c r="C1" s="2" t="inlineStr">
        <is>
          <t>Start</t>
        </is>
      </c>
      <c r="D1" s="2" t="inlineStr">
        <is>
          <t>End</t>
        </is>
      </c>
      <c r="E1" s="2" t="inlineStr">
        <is>
          <t>Gate</t>
        </is>
      </c>
      <c r="F1" s="2" t="inlineStr">
        <is>
          <t>Scope</t>
        </is>
      </c>
      <c r="G1" s="2" t="inlineStr">
        <is>
          <t>Status</t>
        </is>
      </c>
    </row>
    <row r="2">
      <c r="A2" s="3" t="inlineStr">
        <is>
          <t>P0</t>
        </is>
      </c>
      <c r="B2" s="3" t="inlineStr">
        <is>
          <t>Spikes + G1 + design system</t>
        </is>
      </c>
      <c r="C2" s="3" t="inlineStr">
        <is>
          <t>2026-11-02</t>
        </is>
      </c>
      <c r="D2" s="3" t="inlineStr">
        <is>
          <t>2026-11-20</t>
        </is>
      </c>
      <c r="E2" s="3" t="inlineStr">
        <is>
          <t>G1</t>
        </is>
      </c>
      <c r="F2" s="3" t="inlineStr">
        <is>
          <t>SP-01…SP-10, ADRs, tokens, CI + E2E harness smoke (old M0–M1)</t>
        </is>
      </c>
      <c r="G2" s="3" t="inlineStr">
        <is>
          <t>Not started</t>
        </is>
      </c>
    </row>
    <row r="3">
      <c r="A3" s="3" t="inlineStr">
        <is>
          <t>R1</t>
        </is>
      </c>
      <c r="B3" s="3" t="inlineStr">
        <is>
          <t>Workspace &amp; Policies</t>
        </is>
      </c>
      <c r="C3" s="3" t="inlineStr">
        <is>
          <t>2026-11-23</t>
        </is>
      </c>
      <c r="D3" s="3" t="inlineStr">
        <is>
          <t>2027-01-15</t>
        </is>
      </c>
      <c r="E3" s="3" t="inlineStr">
        <is>
          <t>G-R1</t>
        </is>
      </c>
      <c r="F3" s="3" t="inlineStr">
        <is>
          <t>System console, auth+MFA, roles, settings, DataGrid, SOP/policy library, campaigns, announcements, files, audit, dashboard (old M2–M4 part)</t>
        </is>
      </c>
      <c r="G3" s="3" t="inlineStr">
        <is>
          <t>Not started</t>
        </is>
      </c>
    </row>
    <row r="4">
      <c r="A4" s="3" t="inlineStr">
        <is>
          <t>R2</t>
        </is>
      </c>
      <c r="B4" s="3" t="inlineStr">
        <is>
          <t>Requests &amp; Approvals</t>
        </is>
      </c>
      <c r="C4" s="3" t="inlineStr">
        <is>
          <t>2027-01-18</t>
        </is>
      </c>
      <c r="D4" s="3" t="inlineStr">
        <is>
          <t>2027-03-12</t>
        </is>
      </c>
      <c r="E4" s="3" t="inlineStr">
        <is>
          <t>G-R2</t>
        </is>
      </c>
      <c r="F4" s="3" t="inlineStr">
        <is>
          <t>Runtime core, forms, designer, portal, inbox, delegation, SLA, 6 templates (old M5–M6 part)</t>
        </is>
      </c>
      <c r="G4" s="3" t="inlineStr">
        <is>
          <t>Not started</t>
        </is>
      </c>
    </row>
    <row r="5">
      <c r="A5" s="3" t="inlineStr">
        <is>
          <t>R3</t>
        </is>
      </c>
      <c r="B5" s="3" t="inlineStr">
        <is>
          <t>Operate &amp; Sign</t>
        </is>
      </c>
      <c r="C5" s="3" t="inlineStr">
        <is>
          <t>2027-03-15</t>
        </is>
      </c>
      <c r="D5" s="3" t="inlineStr">
        <is>
          <t>2027-05-07</t>
        </is>
      </c>
      <c r="E5" s="3" t="inlineStr">
        <is>
          <t>G-R3</t>
        </is>
      </c>
      <c r="F5" s="3" t="inlineStr">
        <is>
          <t>Admin console, DoA, master data, recall/edit, e-sign v1, 13 templates, PWA, BPMN import (old M4 rest, M6 rest, M7)</t>
        </is>
      </c>
      <c r="G5" s="3" t="inlineStr">
        <is>
          <t>Not started</t>
        </is>
      </c>
    </row>
    <row r="6">
      <c r="A6" s="3" t="inlineStr">
        <is>
          <t>R4</t>
        </is>
      </c>
      <c r="B6" s="3" t="inlineStr">
        <is>
          <t>Enterprise Connect</t>
        </is>
      </c>
      <c r="C6" s="3" t="inlineStr">
        <is>
          <t>2027-05-10</t>
        </is>
      </c>
      <c r="D6" s="3" t="inlineStr">
        <is>
          <t>2027-07-02</t>
        </is>
      </c>
      <c r="E6" s="3" t="inlineStr">
        <is>
          <t>G-R4</t>
        </is>
      </c>
      <c r="F6" s="3" t="inlineStr">
        <is>
          <t>SSO/SCIM, scoped admins, webhooks/API/CLI, email approvals, guests, e-sign v2 (old M8)</t>
        </is>
      </c>
      <c r="G6" s="3" t="inlineStr">
        <is>
          <t>Not started</t>
        </is>
      </c>
    </row>
    <row r="7">
      <c r="A7" s="3" t="inlineStr">
        <is>
          <t>R5</t>
        </is>
      </c>
      <c r="B7" s="3" t="inlineStr">
        <is>
          <t>Cases &amp; Compliance</t>
        </is>
      </c>
      <c r="C7" s="3" t="inlineStr">
        <is>
          <t>2027-07-05</t>
        </is>
      </c>
      <c r="D7" s="3" t="inlineStr">
        <is>
          <t>2027-08-27</t>
        </is>
      </c>
      <c r="E7" s="3" t="inlineStr">
        <is>
          <t>G-R5</t>
        </is>
      </c>
      <c r="F7" s="3" t="inlineStr">
        <is>
          <t>Cases, investigations, legal hold, Part 11, reports, AI optional (old M9)</t>
        </is>
      </c>
      <c r="G7" s="3" t="inlineStr">
        <is>
          <t>Not started</t>
        </is>
      </c>
    </row>
    <row r="8">
      <c r="A8" s="3" t="inlineStr">
        <is>
          <t>GA</t>
        </is>
      </c>
      <c r="B8" s="3" t="inlineStr">
        <is>
          <t>1.0 hardening + release</t>
        </is>
      </c>
      <c r="C8" s="3" t="inlineStr">
        <is>
          <t>2027-08-30</t>
        </is>
      </c>
      <c r="D8" s="3" t="inlineStr">
        <is>
          <t>2027-10-15</t>
        </is>
      </c>
      <c r="E8" s="3" t="inlineStr">
        <is>
          <t>G4/G5</t>
        </is>
      </c>
      <c r="F8" s="3" t="inlineStr">
        <is>
          <t>Load/HA/DR, pentest, a11y/VPAT, i18n, docs, full E2E regression (old M10–M11)</t>
        </is>
      </c>
      <c r="G8" s="3" t="inlineStr">
        <is>
          <t>Not started</t>
        </is>
      </c>
    </row>
    <row r="9">
      <c r="A9" s="3" t="inlineStr">
        <is>
          <t>POST</t>
        </is>
      </c>
      <c r="B9" s="3" t="inlineStr">
        <is>
          <t>Post-GA expansion</t>
        </is>
      </c>
      <c r="C9" s="3" t="inlineStr">
        <is>
          <t>2027-10-18</t>
        </is>
      </c>
      <c r="D9" s="3" t="inlineStr">
        <is>
          <t>2028-03-31</t>
        </is>
      </c>
      <c r="E9" s="3" t="inlineStr">
        <is>
          <t>Demand</t>
        </is>
      </c>
      <c r="F9" s="3" t="inlineStr">
        <is>
          <t>Chat platforms, HRIS/ERP, QES/Aadhaar, BPMN/DMN, mining, AI agents (old M12+)</t>
        </is>
      </c>
      <c r="G9" s="3" t="inlineStr">
        <is>
          <t>Not started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123"/>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60" customWidth="1" min="3" max="3"/>
    <col width="5" customWidth="1" min="4" max="4"/>
    <col width="8" customWidth="1" min="5" max="5"/>
    <col width="14" customWidth="1" min="6" max="6"/>
    <col width="26" customWidth="1" min="7" max="7"/>
    <col width="34" customWidth="1" min="8" max="8"/>
    <col width="6" customWidth="1" min="9" max="9"/>
    <col width="16" customWidth="1" min="10" max="10"/>
    <col width="13" customWidth="1" min="11" max="11"/>
    <col width="15" customWidth="1" min="12" max="12"/>
    <col width="14" customWidth="1" min="13" max="13"/>
    <col width="11" customWidth="1" min="14" max="14"/>
    <col width="11" customWidth="1" min="15" max="15"/>
    <col width="30" customWidth="1" min="16" max="16"/>
  </cols>
  <sheetData>
    <row r="1">
      <c r="A1" s="2" t="inlineStr">
        <is>
          <t>ID</t>
        </is>
      </c>
      <c r="B1" s="2" t="inlineStr">
        <is>
          <t>Area</t>
        </is>
      </c>
      <c r="C1" s="2" t="inlineStr">
        <is>
          <t>Work item</t>
        </is>
      </c>
      <c r="D1" s="2" t="inlineStr">
        <is>
          <t>Pri</t>
        </is>
      </c>
      <c r="E1" s="2" t="inlineStr">
        <is>
          <t>Release</t>
        </is>
      </c>
      <c r="F1" s="2" t="inlineStr">
        <is>
          <t>Owner role</t>
        </is>
      </c>
      <c r="G1" s="2" t="inlineStr">
        <is>
          <t>Refs</t>
        </is>
      </c>
      <c r="H1" s="2" t="inlineStr">
        <is>
          <t>Acceptance</t>
        </is>
      </c>
      <c r="I1" s="2" t="inlineStr">
        <is>
          <t>Size</t>
        </is>
      </c>
      <c r="J1" s="2" t="inlineStr">
        <is>
          <t>Depends</t>
        </is>
      </c>
      <c r="K1" s="2" t="inlineStr">
        <is>
          <t>Status</t>
        </is>
      </c>
      <c r="L1" s="2" t="inlineStr">
        <is>
          <t>Evidence</t>
        </is>
      </c>
      <c r="M1" s="2" t="inlineStr">
        <is>
          <t>Assignee</t>
        </is>
      </c>
      <c r="N1" s="2" t="inlineStr">
        <is>
          <t>Start</t>
        </is>
      </c>
      <c r="O1" s="2" t="inlineStr">
        <is>
          <t>Due</t>
        </is>
      </c>
      <c r="P1" s="2" t="inlineStr">
        <is>
          <t>Notes</t>
        </is>
      </c>
    </row>
    <row r="2">
      <c r="A2" s="3" t="inlineStr">
        <is>
          <t>BPMS-001</t>
        </is>
      </c>
      <c r="B2" s="3" t="inlineStr">
        <is>
          <t>DISC</t>
        </is>
      </c>
      <c r="C2" s="3" t="inlineStr">
        <is>
          <t>User interviews (12+, startup/SME/MNC × HR/IT/Fin/Compliance/Admin) + synthesis</t>
        </is>
      </c>
      <c r="D2" s="3" t="inlineStr">
        <is>
          <t>P0</t>
        </is>
      </c>
      <c r="E2" s="3" t="inlineStr">
        <is>
          <t>P0</t>
        </is>
      </c>
      <c r="F2" s="3" t="inlineStr">
        <is>
          <t>Product/UXR</t>
        </is>
      </c>
      <c r="G2" s="3" t="inlineStr">
        <is>
          <t>OQ-05, A-*</t>
        </is>
      </c>
      <c r="H2" s="3" t="inlineStr">
        <is>
          <t>Synthesis published; personas validated</t>
        </is>
      </c>
      <c r="I2" s="3" t="inlineStr">
        <is>
          <t>M</t>
        </is>
      </c>
      <c r="J2" s="3" t="inlineStr"/>
      <c r="K2" s="3" t="inlineStr">
        <is>
          <t>Not started</t>
        </is>
      </c>
      <c r="L2" s="3" t="inlineStr">
        <is>
          <t>—</t>
        </is>
      </c>
      <c r="M2" s="3" t="inlineStr"/>
      <c r="N2" s="3" t="inlineStr"/>
      <c r="O2" s="3" t="inlineStr"/>
      <c r="P2" s="3" t="inlineStr"/>
    </row>
    <row r="3">
      <c r="A3" s="3" t="inlineStr">
        <is>
          <t>BPMS-002</t>
        </is>
      </c>
      <c r="B3" s="3" t="inlineStr">
        <is>
          <t>DISC</t>
        </is>
      </c>
      <c r="C3" s="3" t="inlineStr">
        <is>
          <t>Model 5 reference processes in IR on paper</t>
        </is>
      </c>
      <c r="D3" s="3" t="inlineStr">
        <is>
          <t>P0</t>
        </is>
      </c>
      <c r="E3" s="3" t="inlineStr">
        <is>
          <t>P0</t>
        </is>
      </c>
      <c r="F3" s="3" t="inlineStr">
        <is>
          <t>Runtime lead</t>
        </is>
      </c>
      <c r="G3" s="3" t="inlineStr">
        <is>
          <t>A-02</t>
        </is>
      </c>
      <c r="H3" s="3" t="inlineStr">
        <is>
          <t>All 5 expressible or IR gaps logged</t>
        </is>
      </c>
      <c r="I3" s="3" t="inlineStr">
        <is>
          <t>S</t>
        </is>
      </c>
      <c r="J3" s="3" t="inlineStr"/>
      <c r="K3" s="3" t="inlineStr">
        <is>
          <t>Done</t>
        </is>
      </c>
      <c r="L3" s="3" t="inlineStr">
        <is>
          <t>Code merged</t>
        </is>
      </c>
      <c r="M3" s="3" t="inlineStr"/>
      <c r="N3" s="3" t="inlineStr"/>
      <c r="O3" s="3" t="inlineStr"/>
      <c r="P3" s="3" t="inlineStr">
        <is>
          <t>5 reference processes as IR v1 fixtures (all 16 node kinds) + JSON Schema + structural checker IR-E001..E016 with negative tests; 12 IR spec clarifications (docs/spikes/BPMS-002)</t>
        </is>
      </c>
    </row>
    <row r="4">
      <c r="A4" s="3" t="inlineStr">
        <is>
          <t>BPMS-003</t>
        </is>
      </c>
      <c r="B4" s="3" t="inlineStr">
        <is>
          <t>SPIKE</t>
        </is>
      </c>
      <c r="C4" s="3" t="inlineStr">
        <is>
          <t>SP-01…SP-06 runtime spikes (native vs Temporal vs Operaton)</t>
        </is>
      </c>
      <c r="D4" s="3" t="inlineStr">
        <is>
          <t>P0</t>
        </is>
      </c>
      <c r="E4" s="3" t="inlineStr">
        <is>
          <t>P0</t>
        </is>
      </c>
      <c r="F4" s="3" t="inlineStr">
        <is>
          <t>Runtime</t>
        </is>
      </c>
      <c r="G4" s="3" t="inlineStr">
        <is>
          <t>U-01, ADR-0015</t>
        </is>
      </c>
      <c r="H4" s="3" t="inlineStr">
        <is>
          <t>Reports in docs/spikes/</t>
        </is>
      </c>
      <c r="I4" s="3" t="inlineStr">
        <is>
          <t>L</t>
        </is>
      </c>
      <c r="J4" s="3" t="inlineStr"/>
      <c r="K4" s="3" t="inlineStr">
        <is>
          <t>Done</t>
        </is>
      </c>
      <c r="L4" s="3" t="inlineStr">
        <is>
          <t>Code merged</t>
        </is>
      </c>
      <c r="M4" s="3" t="inlineStr"/>
      <c r="N4" s="3" t="inlineStr"/>
      <c r="O4" s="3" t="inlineStr"/>
      <c r="P4" s="3" t="inlineStr">
        <is>
          <t>SP-01..06 native runtime: 10k instances under 1329 crashes 0 lost; race exactly-once; join once; 410 retries 0 dup effects; 30-day pinning; BPMN 54-node lossless round trip — docs/spikes/SP-01-06; ADR-0015 recommended</t>
        </is>
      </c>
    </row>
    <row r="5">
      <c r="A5" s="3" t="inlineStr">
        <is>
          <t>BPMS-004</t>
        </is>
      </c>
      <c r="B5" s="3" t="inlineStr">
        <is>
          <t>SPIKE</t>
        </is>
      </c>
      <c r="C5" s="3" t="inlineStr">
        <is>
          <t>SP-07 licence/SBOM review of candidate deps</t>
        </is>
      </c>
      <c r="D5" s="3" t="inlineStr">
        <is>
          <t>P0</t>
        </is>
      </c>
      <c r="E5" s="3" t="inlineStr">
        <is>
          <t>P0</t>
        </is>
      </c>
      <c r="F5" s="3" t="inlineStr">
        <is>
          <t>Tech lead</t>
        </is>
      </c>
      <c r="G5" s="3" t="inlineStr">
        <is>
          <t>ADR-0014</t>
        </is>
      </c>
      <c r="H5" s="3" t="inlineStr">
        <is>
          <t>No blocked licence</t>
        </is>
      </c>
      <c r="I5" s="3" t="inlineStr">
        <is>
          <t>S</t>
        </is>
      </c>
      <c r="J5" s="3" t="inlineStr"/>
      <c r="K5" s="3" t="inlineStr">
        <is>
          <t>Done</t>
        </is>
      </c>
      <c r="L5" s="3" t="inlineStr">
        <is>
          <t>Code merged</t>
        </is>
      </c>
      <c r="M5" s="3" t="inlineStr"/>
      <c r="N5" s="3" t="inlineStr"/>
      <c r="O5" s="3" t="inlineStr"/>
      <c r="P5" s="3" t="inlineStr">
        <is>
          <t>SP-07: Rust + JS dependency licences reviewed; approved set; JS licence gate (scripts/js-licence-gate.mjs) + CDLA-Permissive-2.0 for CA roots; fonts OFL — docs/spikes/SP-07</t>
        </is>
      </c>
    </row>
    <row r="6">
      <c r="A6" s="3" t="inlineStr">
        <is>
          <t>BPMS-005</t>
        </is>
      </c>
      <c r="B6" s="3" t="inlineStr">
        <is>
          <t>SPIKE</t>
        </is>
      </c>
      <c r="C6" s="3" t="inlineStr">
        <is>
          <t>SP-08 expression language (dsntk FEEL vs CEL, incl. WASM)</t>
        </is>
      </c>
      <c r="D6" s="3" t="inlineStr">
        <is>
          <t>P0</t>
        </is>
      </c>
      <c r="E6" s="3" t="inlineStr">
        <is>
          <t>P0</t>
        </is>
      </c>
      <c r="F6" s="3" t="inlineStr">
        <is>
          <t>Runtime</t>
        </is>
      </c>
      <c r="G6" s="3" t="inlineStr">
        <is>
          <t>U-02, ADR-0010</t>
        </is>
      </c>
      <c r="H6" s="3" t="inlineStr">
        <is>
          <t>Engine passes IR expression suite</t>
        </is>
      </c>
      <c r="I6" s="3" t="inlineStr">
        <is>
          <t>M</t>
        </is>
      </c>
      <c r="J6" s="3" t="inlineStr"/>
      <c r="K6" s="3" t="inlineStr">
        <is>
          <t>Done</t>
        </is>
      </c>
      <c r="L6" s="3" t="inlineStr">
        <is>
          <t>Code merged</t>
        </is>
      </c>
      <c r="M6" s="3" t="inlineStr"/>
      <c r="N6" s="3" t="inlineStr"/>
      <c r="O6" s="3" t="inlineStr"/>
      <c r="P6" s="3" t="inlineStr">
        <is>
          <t>SP-08: recommend CEL + decimal/stdlib/type-checker/budgets; FEEL rejected at runtime (quadratic loops, no WASM) — docs/spikes/SP-08; ADR-0010 recommended</t>
        </is>
      </c>
    </row>
    <row r="7">
      <c r="A7" s="3" t="inlineStr">
        <is>
          <t>BPMS-006</t>
        </is>
      </c>
      <c r="B7" s="3" t="inlineStr">
        <is>
          <t>SPIKE</t>
        </is>
      </c>
      <c r="C7" s="3" t="inlineStr">
        <is>
          <t>SP-09 Cedar + RLS + sqlx pool + partial eval</t>
        </is>
      </c>
      <c r="D7" s="3" t="inlineStr">
        <is>
          <t>P0</t>
        </is>
      </c>
      <c r="E7" s="3" t="inlineStr">
        <is>
          <t>P0</t>
        </is>
      </c>
      <c r="F7" s="3" t="inlineStr">
        <is>
          <t>Platform</t>
        </is>
      </c>
      <c r="G7" s="3" t="inlineStr">
        <is>
          <t>U-03, ADR-0011</t>
        </is>
      </c>
      <c r="H7" s="3" t="inlineStr">
        <is>
          <t>0 leaks; list P95 in budget</t>
        </is>
      </c>
      <c r="I7" s="3" t="inlineStr">
        <is>
          <t>M</t>
        </is>
      </c>
      <c r="J7" s="3" t="inlineStr"/>
      <c r="K7" s="3" t="inlineStr">
        <is>
          <t>Done</t>
        </is>
      </c>
      <c r="L7" s="3" t="inlineStr">
        <is>
          <t>Code merged</t>
        </is>
      </c>
      <c r="M7" s="3" t="inlineStr"/>
      <c r="N7" s="3" t="inlineStr"/>
      <c r="O7" s="3" t="inlineStr"/>
      <c r="P7" s="3" t="inlineStr">
        <is>
          <t>SP-09: Cedar 6/6 correct, 5.6µs P50; RLS via pool 0 leaks/5000; LLD fix NULLIF in RLS policy; partial-eval→SQL viable with fallback — docs/spikes/SP-09</t>
        </is>
      </c>
    </row>
    <row r="8">
      <c r="A8" s="3" t="inlineStr">
        <is>
          <t>BPMS-007</t>
        </is>
      </c>
      <c r="B8" s="3" t="inlineStr">
        <is>
          <t>SPIKE</t>
        </is>
      </c>
      <c r="C8" s="3" t="inlineStr">
        <is>
          <t>SP-10 audit chain 10M events: append + explorer</t>
        </is>
      </c>
      <c r="D8" s="3" t="inlineStr">
        <is>
          <t>P0</t>
        </is>
      </c>
      <c r="E8" s="3" t="inlineStr">
        <is>
          <t>P0</t>
        </is>
      </c>
      <c r="F8" s="3" t="inlineStr">
        <is>
          <t>Platform</t>
        </is>
      </c>
      <c r="G8" s="3" t="inlineStr">
        <is>
          <t>U-04</t>
        </is>
      </c>
      <c r="H8" s="3" t="inlineStr">
        <is>
          <t>≥2k ev/s; P95&lt;2s</t>
        </is>
      </c>
      <c r="I8" s="3" t="inlineStr">
        <is>
          <t>M</t>
        </is>
      </c>
      <c r="J8" s="3" t="inlineStr"/>
      <c r="K8" s="3" t="inlineStr">
        <is>
          <t>Done</t>
        </is>
      </c>
      <c r="L8" s="3" t="inlineStr">
        <is>
          <t>Code merged</t>
        </is>
      </c>
      <c r="M8" s="3" t="inlineStr"/>
      <c r="N8" s="3" t="inlineStr"/>
      <c r="O8" s="3" t="inlineStr"/>
      <c r="P8" s="3" t="inlineStr">
        <is>
          <t>SP-10: head-lock 9.7k ev/s (P99 11ms), batched sealer 65k ev/s, explorer P95 &lt;0.6ms at 10M, verifier 536k ev/s + tamper detected — docs/spikes/SP-10</t>
        </is>
      </c>
    </row>
    <row r="9">
      <c r="A9" s="3" t="inlineStr">
        <is>
          <t>BPMS-008</t>
        </is>
      </c>
      <c r="B9" s="3" t="inlineStr">
        <is>
          <t>UX</t>
        </is>
      </c>
      <c r="C9" s="3" t="inlineStr">
        <is>
          <t>Clickable prototype of Wave-1 flows + 5-user test</t>
        </is>
      </c>
      <c r="D9" s="3" t="inlineStr">
        <is>
          <t>P0</t>
        </is>
      </c>
      <c r="E9" s="3" t="inlineStr">
        <is>
          <t>P0</t>
        </is>
      </c>
      <c r="F9" s="3" t="inlineStr">
        <is>
          <t>Design</t>
        </is>
      </c>
      <c r="G9" s="3" t="inlineStr">
        <is>
          <t>05</t>
        </is>
      </c>
      <c r="H9" s="3" t="inlineStr">
        <is>
          <t>Findings logged</t>
        </is>
      </c>
      <c r="I9" s="3" t="inlineStr">
        <is>
          <t>M</t>
        </is>
      </c>
      <c r="J9" s="3" t="inlineStr"/>
      <c r="K9" s="3" t="inlineStr">
        <is>
          <t>Not started</t>
        </is>
      </c>
      <c r="L9" s="3" t="inlineStr">
        <is>
          <t>—</t>
        </is>
      </c>
      <c r="M9" s="3" t="inlineStr"/>
      <c r="N9" s="3" t="inlineStr"/>
      <c r="O9" s="3" t="inlineStr"/>
      <c r="P9" s="3" t="inlineStr"/>
    </row>
    <row r="10">
      <c r="A10" s="3" t="inlineStr">
        <is>
          <t>BPMS-009</t>
        </is>
      </c>
      <c r="B10" s="3" t="inlineStr">
        <is>
          <t>ARCH</t>
        </is>
      </c>
      <c r="C10" s="3" t="inlineStr">
        <is>
          <t>G1: accept ADR-0010/0011/0015; freeze IR v1</t>
        </is>
      </c>
      <c r="D10" s="3" t="inlineStr">
        <is>
          <t>P0</t>
        </is>
      </c>
      <c r="E10" s="3" t="inlineStr">
        <is>
          <t>P0</t>
        </is>
      </c>
      <c r="F10" s="3" t="inlineStr">
        <is>
          <t>Architect</t>
        </is>
      </c>
      <c r="G10" s="3" t="inlineStr">
        <is>
          <t>G1</t>
        </is>
      </c>
      <c r="H10" s="3" t="inlineStr">
        <is>
          <t>Signed off</t>
        </is>
      </c>
      <c r="I10" s="3" t="inlineStr">
        <is>
          <t>S</t>
        </is>
      </c>
      <c r="J10" s="3" t="inlineStr">
        <is>
          <t>BPMS-003..007</t>
        </is>
      </c>
      <c r="K10" s="3" t="inlineStr">
        <is>
          <t>Not started</t>
        </is>
      </c>
      <c r="L10" s="3" t="inlineStr">
        <is>
          <t>—</t>
        </is>
      </c>
      <c r="M10" s="3" t="inlineStr"/>
      <c r="N10" s="3" t="inlineStr"/>
      <c r="O10" s="3" t="inlineStr"/>
      <c r="P10" s="3" t="inlineStr"/>
    </row>
    <row r="11">
      <c r="A11" s="3" t="inlineStr">
        <is>
          <t>BPMS-010</t>
        </is>
      </c>
      <c r="B11" s="3" t="inlineStr">
        <is>
          <t>UX</t>
        </is>
      </c>
      <c r="C11" s="3" t="inlineStr">
        <is>
          <t>Design tokens + core components + visual direction</t>
        </is>
      </c>
      <c r="D11" s="3" t="inlineStr">
        <is>
          <t>P0</t>
        </is>
      </c>
      <c r="E11" s="3" t="inlineStr">
        <is>
          <t>P0</t>
        </is>
      </c>
      <c r="F11" s="3" t="inlineStr">
        <is>
          <t>Design/FE</t>
        </is>
      </c>
      <c r="G11" s="3" t="inlineStr">
        <is>
          <t>05 §7, UX-001</t>
        </is>
      </c>
      <c r="H11" s="3" t="inlineStr">
        <is>
          <t>axe clean; approved</t>
        </is>
      </c>
      <c r="I11" s="3" t="inlineStr">
        <is>
          <t>L</t>
        </is>
      </c>
      <c r="J11" s="3" t="inlineStr"/>
      <c r="K11" s="3" t="inlineStr">
        <is>
          <t>Done</t>
        </is>
      </c>
      <c r="L11" s="3" t="inlineStr">
        <is>
          <t>Automated tests</t>
        </is>
      </c>
      <c r="M11" s="3" t="inlineStr"/>
      <c r="N11" s="3" t="inlineStr"/>
      <c r="O11" s="3" t="inlineStr"/>
      <c r="P11" s="3" t="inlineStr">
        <is>
          <t>Tokens (41 contrast checks + forbidden-pair guard), Button/TextField/Checkbox/Notice/Select/ConfirmDialog/Tabs/DataGrid shell on React Aria + TanStack, app shell, gallery; axe light/dark, keyboard, focus trap, aria-sort, reflow, targets (E2E-P0-05..13)</t>
        </is>
      </c>
    </row>
    <row r="12">
      <c r="A12" s="3" t="inlineStr">
        <is>
          <t>BPMS-011</t>
        </is>
      </c>
      <c r="B12" s="3" t="inlineStr">
        <is>
          <t>ENG</t>
        </is>
      </c>
      <c r="C12" s="3" t="inlineStr">
        <is>
          <t>Monorepo, CI gates (fmt, clippy, deny, tests, a11y, SBOM)</t>
        </is>
      </c>
      <c r="D12" s="3" t="inlineStr">
        <is>
          <t>P0</t>
        </is>
      </c>
      <c r="E12" s="3" t="inlineStr">
        <is>
          <t>P0</t>
        </is>
      </c>
      <c r="F12" s="3" t="inlineStr">
        <is>
          <t>DevOps</t>
        </is>
      </c>
      <c r="G12" s="3" t="inlineStr">
        <is>
          <t>03 §11</t>
        </is>
      </c>
      <c r="H12" s="3" t="inlineStr">
        <is>
          <t>All gates blocking</t>
        </is>
      </c>
      <c r="I12" s="3" t="inlineStr">
        <is>
          <t>M</t>
        </is>
      </c>
      <c r="J12" s="3" t="inlineStr"/>
      <c r="K12" s="3" t="inlineStr">
        <is>
          <t>Done</t>
        </is>
      </c>
      <c r="L12" s="3" t="inlineStr">
        <is>
          <t>Code merged</t>
        </is>
      </c>
      <c r="M12" s="3" t="inlineStr"/>
      <c r="N12" s="3" t="inlineStr"/>
      <c r="O12" s="3" t="inlineStr"/>
      <c r="P12" s="3" t="inlineStr">
        <is>
          <t>Rust workspace, kernel, procera binary, CI (fmt/clippy/test/deny/SBOM/E2E smoke) + web check/build, JS licence gate and axe a11y job (added with BPMS-010)</t>
        </is>
      </c>
    </row>
    <row r="13">
      <c r="A13" s="3" t="inlineStr">
        <is>
          <t>BPMS-012</t>
        </is>
      </c>
      <c r="B13" s="3" t="inlineStr">
        <is>
          <t>SEC</t>
        </is>
      </c>
      <c r="C13" s="3" t="inlineStr">
        <is>
          <t>Threat model review</t>
        </is>
      </c>
      <c r="D13" s="3" t="inlineStr">
        <is>
          <t>P0</t>
        </is>
      </c>
      <c r="E13" s="3" t="inlineStr">
        <is>
          <t>P0</t>
        </is>
      </c>
      <c r="F13" s="3" t="inlineStr">
        <is>
          <t>Security</t>
        </is>
      </c>
      <c r="G13" s="3" t="inlineStr">
        <is>
          <t>06 §2</t>
        </is>
      </c>
      <c r="H13" s="3" t="inlineStr">
        <is>
          <t>Reviewed; tests mapped</t>
        </is>
      </c>
      <c r="I13" s="3" t="inlineStr">
        <is>
          <t>S</t>
        </is>
      </c>
      <c r="J13" s="3" t="inlineStr"/>
      <c r="K13" s="3" t="inlineStr">
        <is>
          <t>Not started</t>
        </is>
      </c>
      <c r="L13" s="3" t="inlineStr">
        <is>
          <t>—</t>
        </is>
      </c>
      <c r="M13" s="3" t="inlineStr"/>
      <c r="N13" s="3" t="inlineStr"/>
      <c r="O13" s="3" t="inlineStr"/>
      <c r="P13" s="3" t="inlineStr"/>
    </row>
    <row r="14">
      <c r="A14" s="3" t="inlineStr">
        <is>
          <t>BPMS-013</t>
        </is>
      </c>
      <c r="B14" s="3" t="inlineStr">
        <is>
          <t>E2E</t>
        </is>
      </c>
      <c r="C14" s="3" t="inlineStr">
        <is>
          <t>E2E harness: Playwright + compose.e2e (PG, SeaweedFS, Valkey, Mailpit, ClamAV), seed A/B, personas, __test clock/drain/fault (feature-gated)</t>
        </is>
      </c>
      <c r="D14" s="3" t="inlineStr">
        <is>
          <t>P0</t>
        </is>
      </c>
      <c r="E14" s="3" t="inlineStr">
        <is>
          <t>P0</t>
        </is>
      </c>
      <c r="F14" s="3" t="inlineStr">
        <is>
          <t>SDET</t>
        </is>
      </c>
      <c r="G14" s="3" t="inlineStr">
        <is>
          <t>23 §2–4</t>
        </is>
      </c>
      <c r="H14" s="3" t="inlineStr">
        <is>
          <t>Smoke runs in CI; endpoints absent in release build</t>
        </is>
      </c>
      <c r="I14" s="3" t="inlineStr">
        <is>
          <t>M</t>
        </is>
      </c>
      <c r="J14" s="3" t="inlineStr">
        <is>
          <t>BPMS-011</t>
        </is>
      </c>
      <c r="K14" s="3" t="inlineStr">
        <is>
          <t>Done</t>
        </is>
      </c>
      <c r="L14" s="3" t="inlineStr">
        <is>
          <t>Automated tests</t>
        </is>
      </c>
      <c r="M14" s="3" t="inlineStr"/>
      <c r="N14" s="3" t="inlineStr"/>
      <c r="O14" s="3" t="inlineStr"/>
      <c r="P14" s="3" t="inlineStr">
        <is>
          <t>e2e feature + /__test controls, Playwright harness, P0 smoke pack (E2E-P0-01..04, REL), compose.e2e stack, CI e2e-smoke job; on main, CI green. Seed A/B + personas land with the first workspace APIs (BPMS-032); full compose boot pending a Docker run Self-hosting: deploy/compose.yml (web+API behind Caddy, Postgres, migrate, optional cache/scan/mail profiles), procera healthcheck, SIGTERM shutdown; guides for Docker Compose install, first-time setup and configuration (docs/guides).</t>
        </is>
      </c>
    </row>
    <row r="15">
      <c r="A15" s="3" t="inlineStr">
        <is>
          <t>BPMS-014</t>
        </is>
      </c>
      <c r="B15" s="3" t="inlineStr">
        <is>
          <t>ENG</t>
        </is>
      </c>
      <c r="C15" s="3" t="inlineStr">
        <is>
          <t>AGENTS.md/CLAUDE.md contract, PR template (spec id + E2E id), CODEOWNERS for protected areas</t>
        </is>
      </c>
      <c r="D15" s="3" t="inlineStr">
        <is>
          <t>P0</t>
        </is>
      </c>
      <c r="E15" s="3" t="inlineStr">
        <is>
          <t>P0</t>
        </is>
      </c>
      <c r="F15" s="3" t="inlineStr">
        <is>
          <t>Tech lead</t>
        </is>
      </c>
      <c r="G15" s="3" t="inlineStr">
        <is>
          <t>07 §3</t>
        </is>
      </c>
      <c r="H15" s="3" t="inlineStr">
        <is>
          <t>In repo</t>
        </is>
      </c>
      <c r="I15" s="3" t="inlineStr">
        <is>
          <t>S</t>
        </is>
      </c>
      <c r="J15" s="3" t="inlineStr"/>
      <c r="K15" s="3" t="inlineStr">
        <is>
          <t>Done</t>
        </is>
      </c>
      <c r="L15" s="3" t="inlineStr">
        <is>
          <t>Code merged</t>
        </is>
      </c>
      <c r="M15" s="3" t="inlineStr"/>
      <c r="N15" s="3" t="inlineStr"/>
      <c r="O15" s="3" t="inlineStr"/>
      <c r="P15" s="3" t="inlineStr">
        <is>
          <t>CLAUDE.md, AGENTS.md, PR template, CODEOWNERS, docs/24 rules on main</t>
        </is>
      </c>
    </row>
    <row r="16">
      <c r="A16" s="3" t="inlineStr">
        <is>
          <t>BPMS-020</t>
        </is>
      </c>
      <c r="B16" s="3" t="inlineStr">
        <is>
          <t>PLAT</t>
        </is>
      </c>
      <c r="C16" s="3" t="inlineStr">
        <is>
          <t>System plane: bootstrap, system roles, workspaces lifecycle, quotas</t>
        </is>
      </c>
      <c r="D16" s="3" t="inlineStr">
        <is>
          <t>P0</t>
        </is>
      </c>
      <c r="E16" s="3" t="inlineStr">
        <is>
          <t>R1</t>
        </is>
      </c>
      <c r="F16" s="3" t="inlineStr">
        <is>
          <t>Platform</t>
        </is>
      </c>
      <c r="G16" s="3" t="inlineStr">
        <is>
          <t>FR-S01–S04</t>
        </is>
      </c>
      <c r="H16" s="3" t="inlineStr">
        <is>
          <t>J8 passes</t>
        </is>
      </c>
      <c r="I16" s="3" t="inlineStr">
        <is>
          <t>L</t>
        </is>
      </c>
      <c r="J16" s="3" t="inlineStr">
        <is>
          <t>BPMS-011</t>
        </is>
      </c>
      <c r="K16" s="3" t="inlineStr">
        <is>
          <t>Done</t>
        </is>
      </c>
      <c r="L16" s="3" t="inlineStr">
        <is>
          <t>Automated tests</t>
        </is>
      </c>
      <c r="M16" s="3" t="inlineStr"/>
      <c r="N16" s="3" t="inlineStr"/>
      <c r="O16" s="3" t="inlineStr"/>
      <c r="P16" s="3" t="inlineStr">
        <is>
          <t>procera-platform + /sysapi/v1: one-time bootstrap token (printed at startup until bootstrapped), system.owner/admin/operator/auditor fixed authz table, MFA required for system plane, workspace create/list/get/rename/suspend/restore/schedule-deletion with If-Match + ETag, profile quotas, platform setting floors seeded, all audited; E2E-R1-SYS-01..05 Workspace rename from workspace Settings (PATCH /api/v1/workspace, audited on the system and workspace chains), E2E-R1-UI-47.</t>
        </is>
      </c>
    </row>
    <row r="17">
      <c r="A17" s="3" t="inlineStr">
        <is>
          <t>BPMS-021</t>
        </is>
      </c>
      <c r="B17" s="3" t="inlineStr">
        <is>
          <t>IAM</t>
        </is>
      </c>
      <c r="C17" s="3" t="inlineStr">
        <is>
          <t>Local auth (Argon2id), email verify, lockout, sessions</t>
        </is>
      </c>
      <c r="D17" s="3" t="inlineStr">
        <is>
          <t>P0</t>
        </is>
      </c>
      <c r="E17" s="3" t="inlineStr">
        <is>
          <t>R1</t>
        </is>
      </c>
      <c r="F17" s="3" t="inlineStr">
        <is>
          <t>Platform</t>
        </is>
      </c>
      <c r="G17" s="3" t="inlineStr">
        <is>
          <t>12 §3, FX-I01</t>
        </is>
      </c>
      <c r="H17" s="3" t="inlineStr">
        <is>
          <t>SEC tests green</t>
        </is>
      </c>
      <c r="I17" s="3" t="inlineStr">
        <is>
          <t>M</t>
        </is>
      </c>
      <c r="J17" s="3" t="inlineStr">
        <is>
          <t>BPMS-020</t>
        </is>
      </c>
      <c r="K17" s="3" t="inlineStr">
        <is>
          <t>Done</t>
        </is>
      </c>
      <c r="L17" s="3" t="inlineStr">
        <is>
          <t>Automated tests</t>
        </is>
      </c>
      <c r="M17" s="3" t="inlineStr"/>
      <c r="N17" s="3" t="inlineStr"/>
      <c r="O17" s="3" t="inlineStr"/>
      <c r="P17" s="3" t="inlineStr">
        <is>
          <t>procera-identity + /api/v1/auth: users, Argon2id (policy, rehash, enumeration-safe), JWT access (ADR-0020) + rotating refresh with reuse detection, DB login throttling + per-IP rate limit, logout, sign-out-everywhere, deactivation via token_version; audited; E2E-R1-AUTH-01..05,07 Account recovery (migration 0036, docs/06 §3.6.1, A-39/A-40): forgot password with hashed single-use 30-minute reset links (no enumeration, rate limited), reset revokes sessions and keeps two-step, change password, admin-required change at next sign-in; admin account controls on the person page (member:security.manage, step-up and reason, only-workspace rule): send reset link, require password change, sign out everywhere, reset two-step; Account › Profile (name, time zone, language). E2E-R1-UI-46, 48..50, AUD-01.</t>
        </is>
      </c>
    </row>
    <row r="18">
      <c r="A18" s="3" t="inlineStr">
        <is>
          <t>BPMS-022</t>
        </is>
      </c>
      <c r="B18" s="3" t="inlineStr">
        <is>
          <t>IAM</t>
        </is>
      </c>
      <c r="C18" s="3" t="inlineStr">
        <is>
          <t>MFA TOTP + WebAuthn, recovery codes, step-up</t>
        </is>
      </c>
      <c r="D18" s="3" t="inlineStr">
        <is>
          <t>P0</t>
        </is>
      </c>
      <c r="E18" s="3" t="inlineStr">
        <is>
          <t>R1</t>
        </is>
      </c>
      <c r="F18" s="3" t="inlineStr">
        <is>
          <t>Platform</t>
        </is>
      </c>
      <c r="G18" s="3" t="inlineStr">
        <is>
          <t>12 §3/§11</t>
        </is>
      </c>
      <c r="H18" s="3" t="inlineStr">
        <is>
          <t>MFA required by role works</t>
        </is>
      </c>
      <c r="I18" s="3" t="inlineStr">
        <is>
          <t>M</t>
        </is>
      </c>
      <c r="J18" s="3" t="inlineStr">
        <is>
          <t>BPMS-021</t>
        </is>
      </c>
      <c r="K18" s="3" t="inlineStr">
        <is>
          <t>Done</t>
        </is>
      </c>
      <c r="L18" s="3" t="inlineStr">
        <is>
          <t>Automated tests</t>
        </is>
      </c>
      <c r="M18" s="3" t="inlineStr"/>
      <c r="N18" s="3" t="inlineStr"/>
      <c r="O18" s="3" t="inlineStr"/>
      <c r="P18" s="3" t="inlineStr">
        <is>
          <t>TOTP + recovery codes + step-up + MFA by role (earlier); passkeys (WebAuthn L3, migration 0020): registration, sign-in second factor and step-up, list/rename/remove with step-up, phishing-origin and replay protection, Account › Security page, Use a passkey at sign-in and in step-up. E2E-R1-AUTH-06, 20..23, E2E-R1-UI-30..31. Passkey-only sign-in is P1 (A-19) No second sign-in after turning on two-step: the confirmed code upgrades the session and its refresh family.</t>
        </is>
      </c>
    </row>
    <row r="19">
      <c r="A19" s="3" t="inlineStr">
        <is>
          <t>BPMS-023</t>
        </is>
      </c>
      <c r="B19" s="3" t="inlineStr">
        <is>
          <t>IAM</t>
        </is>
      </c>
      <c r="C19" s="3" t="inlineStr">
        <is>
          <t>Memberships, invites, directory (departments/groups/positions/managers), CSV import</t>
        </is>
      </c>
      <c r="D19" s="3" t="inlineStr">
        <is>
          <t>P0</t>
        </is>
      </c>
      <c r="E19" s="3" t="inlineStr">
        <is>
          <t>R1</t>
        </is>
      </c>
      <c r="F19" s="3" t="inlineStr">
        <is>
          <t>Platform</t>
        </is>
      </c>
      <c r="G19" s="3" t="inlineStr">
        <is>
          <t>FR-W01/W02</t>
        </is>
      </c>
      <c r="H19" s="3" t="inlineStr">
        <is>
          <t>Manager cycles rejected</t>
        </is>
      </c>
      <c r="I19" s="3" t="inlineStr">
        <is>
          <t>M</t>
        </is>
      </c>
      <c r="J19" s="3" t="inlineStr">
        <is>
          <t>BPMS-020</t>
        </is>
      </c>
      <c r="K19" s="3" t="inlineStr">
        <is>
          <t>Done</t>
        </is>
      </c>
      <c r="L19" s="3" t="inlineStr">
        <is>
          <t>Automated tests</t>
        </is>
      </c>
      <c r="M19" s="3" t="inlineStr"/>
      <c r="N19" s="3" t="inlineStr"/>
      <c r="O19" s="3" t="inlineStr"/>
      <c r="P19" s="3" t="inlineStr">
        <is>
          <t>procera-members + /api/v1: memberships, invitations (hashed + sealed tokens, 7-day expiry, email-bound, single use; list, revoke, resend), register-by-invite, owner onboarding activates the workspace, workspace switch (ws-scoped JWT), deactivation guards, state gate (423). Directory (migration 0008): department tree (uuid[] paths, sibling-unique names, no moves under descendants), static groups, positions (behind directory.positions.enabled), manager links with cycle rejection, deterministic manager resolution (explicit → nearest department head), per-field source attribution, CSV import with plan/apply. All audited; E2E-R1-MEM-01..03,05..07, E2E-R1-DIR-01..04 Invitation page /invite (GET /invitations/preview, A-24): create account and join, or sign in and join; deep links survive sign-in. E2E-R1-FLOW-01, 02. Directory import UI with a check step and per-row reasons (E2E-R1-04); deactivate from the person page with immediate session exit (E2E-R1-16); person page with department, manager and location. Directory UI: Departments page (tree, add, rename, move, head, delete only when empty), Groups (list, group page, members), editable person profile with groups, reactivate with step-up and reason (A-41), resend and revoke invitations, bulk set department and add to group. E2E-R1-UI-51..55. Later: people list per department, Used by, group owners. 0.1 gaps: copy an invitation link when email isn't set up (members and the owner invite), leaving the organisation as a 3-step flow (review, hand over, confirm), department people and Used by. E2E-R1-UI-71..72, 74..75.</t>
        </is>
      </c>
    </row>
    <row r="20">
      <c r="A20" s="3" t="inlineStr">
        <is>
          <t>BPMS-024</t>
        </is>
      </c>
      <c r="B20" s="3" t="inlineStr">
        <is>
          <t>IAM</t>
        </is>
      </c>
      <c r="C20" s="3" t="inlineStr">
        <is>
          <t>Permission catalogue, role templates, custom roles, grants, scopes, preview → Cedar</t>
        </is>
      </c>
      <c r="D20" s="3" t="inlineStr">
        <is>
          <t>P0</t>
        </is>
      </c>
      <c r="E20" s="3" t="inlineStr">
        <is>
          <t>R1</t>
        </is>
      </c>
      <c r="F20" s="3" t="inlineStr">
        <is>
          <t>Platform</t>
        </is>
      </c>
      <c r="G20" s="3" t="inlineStr">
        <is>
          <t>FR-W03, ADR-0011</t>
        </is>
      </c>
      <c r="H20" s="3" t="inlineStr">
        <is>
          <t>No-escalation property test</t>
        </is>
      </c>
      <c r="I20" s="3" t="inlineStr">
        <is>
          <t>L</t>
        </is>
      </c>
      <c r="J20" s="3" t="inlineStr">
        <is>
          <t>BPMS-023</t>
        </is>
      </c>
      <c r="K20" s="3" t="inlineStr">
        <is>
          <t>Done</t>
        </is>
      </c>
      <c r="L20" s="3" t="inlineStr">
        <is>
          <t>Automated tests</t>
        </is>
      </c>
      <c r="M20" s="3" t="inlineStr"/>
      <c r="N20" s="3" t="inlineStr"/>
      <c r="O20" s="3" t="inlineStr"/>
      <c r="P20" s="3" t="inlineStr">
        <is>
          <t>procera-access: permission catalogue + 12 role templates; custom roles (no escalation on create/edit/grant/revoke, built-ins immutable, clone lineage); grants to members or static groups (migration 0009), scoped (workspace/department/collection/process/case) with expiry, compiled to Cedar; members inherit their department subtree so department-scoped admins reach only it; invariants (workspace isolation, active members only); last-owner protection; role change preview; access_revisions cache; all changes audited. Property tests: no escalation (64 cases) and preview matches effect (48 cases), both against Postgres. E2E-R1-MEM-04,08,09 Roles &amp; access UI: roles list and drawer, custom roles, grants with scope and expiry, collection-scoped library grants (A-34); the Member baseline is always granted on accept, so specialist roles add to it (E2E-R1-05).</t>
        </is>
      </c>
    </row>
    <row r="21">
      <c r="A21" s="3" t="inlineStr">
        <is>
          <t>BPMS-025</t>
        </is>
      </c>
      <c r="B21" s="3" t="inlineStr">
        <is>
          <t>SEC</t>
        </is>
      </c>
      <c r="C21" s="3" t="inlineStr">
        <is>
          <t>Forced RLS + repository WsCtx + CI cross-workspace sweep</t>
        </is>
      </c>
      <c r="D21" s="3" t="inlineStr">
        <is>
          <t>P0</t>
        </is>
      </c>
      <c r="E21" s="3" t="inlineStr">
        <is>
          <t>R1</t>
        </is>
      </c>
      <c r="F21" s="3" t="inlineStr">
        <is>
          <t>Platform</t>
        </is>
      </c>
      <c r="G21" s="3" t="inlineStr">
        <is>
          <t>03 §7, SEC-01/02</t>
        </is>
      </c>
      <c r="H21" s="3" t="inlineStr">
        <is>
          <t>Sweep green in CI</t>
        </is>
      </c>
      <c r="I21" s="3" t="inlineStr">
        <is>
          <t>M</t>
        </is>
      </c>
      <c r="J21" s="3" t="inlineStr">
        <is>
          <t>BPMS-020</t>
        </is>
      </c>
      <c r="K21" s="3" t="inlineStr">
        <is>
          <t>Done</t>
        </is>
      </c>
      <c r="L21" s="3" t="inlineStr">
        <is>
          <t>Code merged</t>
        </is>
      </c>
      <c r="M21" s="3" t="inlineStr"/>
      <c r="N21" s="3" t="inlineStr"/>
      <c r="O21" s="3" t="inlineStr"/>
      <c r="P21" s="3" t="inlineStr">
        <is>
          <t>procera-db: migrations (0001-0003), roles bootstrap (app/migrator/discovery), WsTx with tx-local set_config, procera_enable_workspace_rls() with NULLIF, procera_rls_violations guard (tested + enforced at startup), discovery.* functions with column grants; 6 DB tests</t>
        </is>
      </c>
    </row>
    <row r="22">
      <c r="A22" s="3" t="inlineStr">
        <is>
          <t>BPMS-026</t>
        </is>
      </c>
      <c r="B22" s="3" t="inlineStr">
        <is>
          <t>AUD</t>
        </is>
      </c>
      <c r="C22" s="3" t="inlineStr">
        <is>
          <t>Audit chain append + coverage contract test</t>
        </is>
      </c>
      <c r="D22" s="3" t="inlineStr">
        <is>
          <t>P0</t>
        </is>
      </c>
      <c r="E22" s="3" t="inlineStr">
        <is>
          <t>R1</t>
        </is>
      </c>
      <c r="F22" s="3" t="inlineStr">
        <is>
          <t>Platform</t>
        </is>
      </c>
      <c r="G22" s="3" t="inlineStr">
        <is>
          <t>FR-T01, AUD-01/07</t>
        </is>
      </c>
      <c r="H22" s="3" t="inlineStr">
        <is>
          <t>Every mutating route emits 1 event</t>
        </is>
      </c>
      <c r="I22" s="3" t="inlineStr">
        <is>
          <t>M</t>
        </is>
      </c>
      <c r="J22" s="3" t="inlineStr">
        <is>
          <t>BPMS-025</t>
        </is>
      </c>
      <c r="K22" s="3" t="inlineStr">
        <is>
          <t>Done</t>
        </is>
      </c>
      <c r="L22" s="3" t="inlineStr">
        <is>
          <t>Automated tests</t>
        </is>
      </c>
      <c r="M22" s="3" t="inlineStr"/>
      <c r="N22" s="3" t="inlineStr"/>
      <c r="O22" s="3" t="inlineStr"/>
      <c r="P22" s="3" t="inlineStr">
        <is>
          <t>procera-audit: JCS/SHA-256 per-workspace chain in the business tx, batched sealer, verifier, monthly partitions with forced RLS, append-only grants + trigger; tamper test. Route audit contract (audit_contract.rs): a unit test fails on any mutating route without an entry; E2E-R1-AUD-01 checks every route's appended events against it. Gaps closed: TOTP enrolment start, workspace selection, role/grant changes. data_access events follow with restricted data (BPMS-040+)</t>
        </is>
      </c>
    </row>
    <row r="23">
      <c r="A23" s="3" t="inlineStr">
        <is>
          <t>BPMS-027</t>
        </is>
      </c>
      <c r="B23" s="3" t="inlineStr">
        <is>
          <t>CFG</t>
        </is>
      </c>
      <c r="C23" s="3" t="inlineStr">
        <is>
          <t>Settings layering, floors, profiles, explainer</t>
        </is>
      </c>
      <c r="D23" s="3" t="inlineStr">
        <is>
          <t>P0</t>
        </is>
      </c>
      <c r="E23" s="3" t="inlineStr">
        <is>
          <t>R1</t>
        </is>
      </c>
      <c r="F23" s="3" t="inlineStr">
        <is>
          <t>Platform</t>
        </is>
      </c>
      <c r="G23" s="3" t="inlineStr">
        <is>
          <t>FR-S05, FR-W04/W06, CFG-001..003</t>
        </is>
      </c>
      <c r="H23" s="3" t="inlineStr">
        <is>
          <t>Never looser than floor</t>
        </is>
      </c>
      <c r="I23" s="3" t="inlineStr">
        <is>
          <t>M</t>
        </is>
      </c>
      <c r="J23" s="3" t="inlineStr">
        <is>
          <t>BPMS-020</t>
        </is>
      </c>
      <c r="K23" s="3" t="inlineStr">
        <is>
          <t>Done</t>
        </is>
      </c>
      <c r="L23" s="3" t="inlineStr">
        <is>
          <t>Automated tests</t>
        </is>
      </c>
      <c r="M23" s="3" t="inlineStr"/>
      <c r="N23" s="3" t="inlineStr"/>
      <c r="O23" s="3" t="inlineStr"/>
      <c r="P23" s="3" t="inlineStr">
        <is>
          <t>Catalogue, floors, profiles, explainer (earlier); department overrides as layer 4 with tree inheritance (0021), profile switch plan/apply with If-Match, reason and step-up (CFG-017), effective-settings cache with generation invalidation over Valkey, never authoritative (CFG-004); Settings tabs for departments and profile. E2E-R1-CFG-01..08, E2E-R1-UI-16, 35..36 (A-17) Settings redesign (owner: crowded and confusing; docs/design/ia-competitive-analysis.md §6): seven category pages with search, Advanced sections, unbuilt-feature keys and choices hidden, department overrides on each setting, starting-point banner. E2E-R1-UI-61, 35, 36. 0.2: an eighth category, Requests (request types, who can ask, currency, out of office); new per-item audiences kind, validated server-side.</t>
        </is>
      </c>
    </row>
    <row r="24">
      <c r="A24" s="3" t="inlineStr">
        <is>
          <t>BPMS-028</t>
        </is>
      </c>
      <c r="B24" s="3" t="inlineStr">
        <is>
          <t>UX</t>
        </is>
      </c>
      <c r="C24" s="3" t="inlineStr">
        <is>
          <t>Shared DataGrid v1 (sort, filter builder, saved views, export, keyboard)</t>
        </is>
      </c>
      <c r="D24" s="3" t="inlineStr">
        <is>
          <t>P0</t>
        </is>
      </c>
      <c r="E24" s="3" t="inlineStr">
        <is>
          <t>R1</t>
        </is>
      </c>
      <c r="F24" s="3" t="inlineStr">
        <is>
          <t>FE</t>
        </is>
      </c>
      <c r="G24" s="3" t="inlineStr">
        <is>
          <t>FR-V01–V09</t>
        </is>
      </c>
      <c r="H24" s="3" t="inlineStr">
        <is>
          <t>Used by Members &amp; Workspaces</t>
        </is>
      </c>
      <c r="I24" s="3" t="inlineStr">
        <is>
          <t>L</t>
        </is>
      </c>
      <c r="J24" s="3" t="inlineStr">
        <is>
          <t>BPMS-010</t>
        </is>
      </c>
      <c r="K24" s="3" t="inlineStr">
        <is>
          <t>Done</t>
        </is>
      </c>
      <c r="L24" s="3" t="inlineStr">
        <is>
          <t>Automated tests</t>
        </is>
      </c>
      <c r="M24" s="3" t="inlineStr"/>
      <c r="N24" s="3" t="inlineStr"/>
      <c r="O24" s="3" t="inlineStr"/>
      <c r="P24" s="3" t="inlineStr">
        <is>
          <t>DataGrid v1 (web/src/ui/components/DataGrid.tsx): quick search, typed filter builder with chips and plain-language summary, multi-sort with order numbers, columns chooser, density, formula-safe CSV export audited via POST /exports, saved views per list (personal/shared, default, modified marker; migration 0028; /views API) with URL state, selection with shift-range and bulk actions, Enter/Space keyboard, live count, cards below 40rem; adopted by Library and Members. E2E-R1-VIEW-01, E2E-R1-UI-38, E2E-P0-10. v2: AND/OR filter groups, views shared with roles (migration 0034), XLSX export (E2E-R1-13). Later: server-driven query + cursor paging, async export, column resize.</t>
        </is>
      </c>
    </row>
    <row r="25">
      <c r="A25" s="3" t="inlineStr">
        <is>
          <t>BPMS-029</t>
        </is>
      </c>
      <c r="B25" s="3" t="inlineStr">
        <is>
          <t>ENG</t>
        </is>
      </c>
      <c r="C25" s="3" t="inlineStr">
        <is>
          <t>Outbox + dispatcher + inbox dedup + idempotency keys</t>
        </is>
      </c>
      <c r="D25" s="3" t="inlineStr">
        <is>
          <t>P0</t>
        </is>
      </c>
      <c r="E25" s="3" t="inlineStr">
        <is>
          <t>R1</t>
        </is>
      </c>
      <c r="F25" s="3" t="inlineStr">
        <is>
          <t>Platform</t>
        </is>
      </c>
      <c r="G25" s="3" t="inlineStr">
        <is>
          <t>ADR-0005</t>
        </is>
      </c>
      <c r="H25" s="3" t="inlineStr">
        <is>
          <t>T02 skeleton passes</t>
        </is>
      </c>
      <c r="I25" s="3" t="inlineStr">
        <is>
          <t>M</t>
        </is>
      </c>
      <c r="J25" s="3" t="inlineStr">
        <is>
          <t>BPMS-011</t>
        </is>
      </c>
      <c r="K25" s="3" t="inlineStr">
        <is>
          <t>Done</t>
        </is>
      </c>
      <c r="L25" s="3" t="inlineStr">
        <is>
          <t>Automated tests</t>
        </is>
      </c>
      <c r="M25" s="3" t="inlineStr"/>
      <c r="N25" s="3" t="inlineStr"/>
      <c r="O25" s="3" t="inlineStr"/>
      <c r="P25" s="3" t="inlineStr">
        <is>
          <t>Outbox/inbox/idempotency tables + helpers (SKIP LOCKED claims, replay/conflict). Dispatcher (procera_db::dispatch, migration 0010): due-workspace discovery, per-workspace advisory lock, per-aggregate ordered delivery to a Bus, at-least-once with exponential backoff (max 5 min) and hold-back behind a failed event, NOTIFY trigger wake-ups + 1 s polling; runs in serve --all; /__test/drain really drains. Tests: order/backoff/hold-back/workspaces + NOTIFY wake-up; E2E-R1-MEM-07. Consumers (mailer) arrive with BPMS-048</t>
        </is>
      </c>
    </row>
    <row r="26">
      <c r="A26" s="3" t="inlineStr">
        <is>
          <t>BPMS-030</t>
        </is>
      </c>
      <c r="B26" s="3" t="inlineStr">
        <is>
          <t>ENG</t>
        </is>
      </c>
      <c r="C26" s="3" t="inlineStr">
        <is>
          <t>Key hierarchy: KeyProvider (sealed local, OpenBao, KMS), per-workspace KEK</t>
        </is>
      </c>
      <c r="D26" s="3" t="inlineStr">
        <is>
          <t>P0</t>
        </is>
      </c>
      <c r="E26" s="3" t="inlineStr">
        <is>
          <t>R1</t>
        </is>
      </c>
      <c r="F26" s="3" t="inlineStr">
        <is>
          <t>Platform/Sec</t>
        </is>
      </c>
      <c r="G26" s="3" t="inlineStr">
        <is>
          <t>04 §8, 06 §4</t>
        </is>
      </c>
      <c r="H26" s="3" t="inlineStr">
        <is>
          <t>Rotation + shred tested</t>
        </is>
      </c>
      <c r="I26" s="3" t="inlineStr">
        <is>
          <t>M</t>
        </is>
      </c>
      <c r="J26" s="3" t="inlineStr">
        <is>
          <t>BPMS-020</t>
        </is>
      </c>
      <c r="K26" s="3" t="inlineStr">
        <is>
          <t>Done</t>
        </is>
      </c>
      <c r="L26" s="3" t="inlineStr">
        <is>
          <t>Automated tests</t>
        </is>
      </c>
      <c r="M26" s="3" t="inlineStr"/>
      <c r="N26" s="3" t="inlineStr"/>
      <c r="O26" s="3" t="inlineStr"/>
      <c r="P26" s="3" t="inlineStr">
        <is>
          <t>procera-crypto: LocalKey root, AES-256-GCM seal/open, envelope_* (per-value DEK wrapped by a versioned KEK; rewrap without re-encryption). procera-keys (migration 0026): per-workspace versioned KEKs root-sealed, lazy v1, rotation (reason + step-up, audited), background rewrap of registered envelope columns, unused retired keys destroyed, crypto-shred; email bodies moved to workspace envelopes (legacy still opens); Encryption admin page. Root key rotation: `procera rotate-master-key` (migration 0039 discovery fn) re-seals KEKs, TOTP secrets, invitation tokens and pre-envelope email bodies in one verified transaction, audited key.root_rotated; access tokens and signed file links change with the key. E2E-R1-KEY-01, E2E-R1-UI-29, keys integration tests (incl. root_rotation). Done for 0.1 (local sealed root); KMS/OpenBao adapters and yearly auto-rotation moved to BPMS-206.</t>
        </is>
      </c>
    </row>
    <row r="27">
      <c r="A27" s="3" t="inlineStr">
        <is>
          <t>BPMS-031</t>
        </is>
      </c>
      <c r="B27" s="3" t="inlineStr">
        <is>
          <t>UX</t>
        </is>
      </c>
      <c r="C27" s="3" t="inlineStr">
        <is>
          <t>App shell, workspace switcher, system console shell, ⌘K</t>
        </is>
      </c>
      <c r="D27" s="3" t="inlineStr">
        <is>
          <t>P0</t>
        </is>
      </c>
      <c r="E27" s="3" t="inlineStr">
        <is>
          <t>R1</t>
        </is>
      </c>
      <c r="F27" s="3" t="inlineStr">
        <is>
          <t>FE</t>
        </is>
      </c>
      <c r="G27" s="3" t="inlineStr">
        <is>
          <t>UX-002/003</t>
        </is>
      </c>
      <c r="H27" s="3" t="inlineStr">
        <is>
          <t>Keyboard nav</t>
        </is>
      </c>
      <c r="I27" s="3" t="inlineStr">
        <is>
          <t>M</t>
        </is>
      </c>
      <c r="J27" s="3" t="inlineStr">
        <is>
          <t>BPMS-010</t>
        </is>
      </c>
      <c r="K27" s="3" t="inlineStr">
        <is>
          <t>Done</t>
        </is>
      </c>
      <c r="L27" s="3" t="inlineStr">
        <is>
          <t>Automated tests</t>
        </is>
      </c>
      <c r="M27" s="3" t="inlineStr"/>
      <c r="N27" s="3" t="inlineStr"/>
      <c r="O27" s="3" t="inlineStr"/>
      <c r="P27" s="3" t="inlineStr">
        <is>
          <t>Web app on the Notion/Attio direction (owner choice): warm paper palette in tokens (contrast-checked), full-bleed pages with a warm icon sidebar, workspace + account menus (persisted theme), action-first Home (acknowledgements, reviews, announcements with inline actions, library table, activity, people), Library (filters, Attio-style table, New document dialog), document reading view with properties, lifecycle actions (edit, submit, approve, request changes, publish with step-up, new version), acknowledgement callout, Announcements feed with read/ack, Members with invite dialog; split sign-in with product preview; single-flight token refresh. E2E-R1-UI-01..10 with axe. Second UI pass: Geist type, state kit (skeletons, empty states, load errors with retry), ⌘K palette over search + commands (E2E-R1-UI-12..13), admin screens: Manage announcements, Campaigns, Settings, Audit log, Overview, People &amp; access (E2E-R1-UI-14..17, 23); Policies portal and document governance (E2E-R1-UI-18..22). Keyboard-only journey (E2E-R1-19) and system console shell done.; 0.1 polish from a small-company walkthrough (review choice in setup, approver named, authors not offered their own review, merged notifications, document page layout, animated empty-state illustrations). Done for 0.1; mobile bottom bar moved to BPMS-207.</t>
        </is>
      </c>
    </row>
    <row r="28">
      <c r="A28" s="3" t="inlineStr">
        <is>
          <t>BPMS-032</t>
        </is>
      </c>
      <c r="B28" s="3" t="inlineStr">
        <is>
          <t>E2E</t>
        </is>
      </c>
      <c r="C28" s="3" t="inlineStr">
        <is>
          <t>E2E-R1 pack (R1-01…19 + ISO)</t>
        </is>
      </c>
      <c r="D28" s="3" t="inlineStr">
        <is>
          <t>P0</t>
        </is>
      </c>
      <c r="E28" s="3" t="inlineStr">
        <is>
          <t>R1</t>
        </is>
      </c>
      <c r="F28" s="3" t="inlineStr">
        <is>
          <t>SDET + feature owners</t>
        </is>
      </c>
      <c r="G28" s="3" t="inlineStr">
        <is>
          <t>23 §5</t>
        </is>
      </c>
      <c r="H28" s="3" t="inlineStr">
        <is>
          <t>Green on Chromium + mobile</t>
        </is>
      </c>
      <c r="I28" s="3" t="inlineStr">
        <is>
          <t>L</t>
        </is>
      </c>
      <c r="J28" s="3" t="inlineStr">
        <is>
          <t>BPMS-013</t>
        </is>
      </c>
      <c r="K28" s="3" t="inlineStr">
        <is>
          <t>Done</t>
        </is>
      </c>
      <c r="L28" s="3" t="inlineStr">
        <is>
          <t>Automated tests</t>
        </is>
      </c>
      <c r="M28" s="3" t="inlineStr"/>
      <c r="N28" s="3" t="inlineStr"/>
      <c r="O28" s="3" t="inlineStr"/>
      <c r="P28" s="3" t="inlineStr">
        <is>
          <t>R1 gate pack started in the browser (packs/r1/gate.ui.spec.ts): E2E-R1-01 setup page, E2E-R1-02 new workspaces with owner onboarding, E2E-R1-05 roles with collection scope, E2E-R1-03 accent branding with contrast-safe shades (logo and terminology pending), E2E-R1-04 directory import, E2E-R1-06 controlled policy SoD, step-up approve, scheduled go-live, superseded; E2E-R1-10 announcement approval and expiry, E2E-R1-07 re-ack at scale with evidence, E2E-R1-11 resumable 50 MB upload and links, E2E-R1-12 Files retention and held files, E2E-R1-13 DataGrid groups, shared views and exports, E2E-R1-18 startup day one with template packs, E2E-R1-08 new joiner gets open campaigns, E2E-R1-09 J14 location audience with confirm-by, campaign engine, one escalation, archive closes, E2E-R1-16 deactivation, E2E-R1-14 audit trail in the browser, E2E-R1-15 overview drill-downs, E2E-R1-17 read-only workspace with banner, E2E-R1-19 keyboard only, E2E-R1-ISO sweep (21 probes → 404, each audited as access.denied, A-31); plus complete flows E2E-R1-FLOW-01..06. All 19 R1 scenarios green in the browser. Notes: R1-01 full bootstrap needs a fresh database (covered by E2E-R1-SYS-01); R1-18 plans the first campaign rather than creating it.</t>
        </is>
      </c>
    </row>
    <row r="29">
      <c r="A29" s="3" t="inlineStr">
        <is>
          <t>BPMS-033</t>
        </is>
      </c>
      <c r="B29" s="3" t="inlineStr">
        <is>
          <t>OPS</t>
        </is>
      </c>
      <c r="C29" s="3" t="inlineStr">
        <is>
          <t>Valkey cache port (rate limit, session cache, policy/settings cache, SSE fan-out) + cache-off fallback</t>
        </is>
      </c>
      <c r="D29" s="3" t="inlineStr">
        <is>
          <t>P0</t>
        </is>
      </c>
      <c r="E29" s="3" t="inlineStr">
        <is>
          <t>R1</t>
        </is>
      </c>
      <c r="F29" s="3" t="inlineStr">
        <is>
          <t>Platform</t>
        </is>
      </c>
      <c r="G29" s="3" t="inlineStr">
        <is>
          <t>ADR-0019</t>
        </is>
      </c>
      <c r="H29" s="3" t="inlineStr">
        <is>
          <t>E2E passes with cache off</t>
        </is>
      </c>
      <c r="I29" s="3" t="inlineStr">
        <is>
          <t>M</t>
        </is>
      </c>
      <c r="J29" s="3" t="inlineStr">
        <is>
          <t>BPMS-020</t>
        </is>
      </c>
      <c r="K29" s="3" t="inlineStr">
        <is>
          <t>Done</t>
        </is>
      </c>
      <c r="L29" s="3" t="inlineStr">
        <is>
          <t>Code merged</t>
        </is>
      </c>
      <c r="M29" s="3" t="inlineStr"/>
      <c r="N29" s="3" t="inlineStr"/>
      <c r="O29" s="3" t="inlineStr"/>
      <c r="P29" s="3" t="inlineStr">
        <is>
          <t>procera-cache: memory + Valkey/Redis (redis 1.7, BSD-3) with ws:/sys: key namespacing, TTL-only writes, Lua fixed-window rate limit with in-process fallback, degraded health; wired into procera (/readyz), CI Valkey service</t>
        </is>
      </c>
    </row>
    <row r="30">
      <c r="A30" s="3" t="inlineStr">
        <is>
          <t>BPMS-034</t>
        </is>
      </c>
      <c r="B30" s="3" t="inlineStr">
        <is>
          <t>BRAND</t>
        </is>
      </c>
      <c r="C30" s="3" t="inlineStr">
        <is>
          <t>Brand vector masters (SVG symbol/wordmark/lockups, small-size symbol), favicon/PWA icon set from vector, trademark &amp; domain search</t>
        </is>
      </c>
      <c r="D30" s="3" t="inlineStr">
        <is>
          <t>P0</t>
        </is>
      </c>
      <c r="E30" s="3" t="inlineStr">
        <is>
          <t>R1</t>
        </is>
      </c>
      <c r="F30" s="3" t="inlineStr">
        <is>
          <t>Design + Product</t>
        </is>
      </c>
      <c r="G30" s="3" t="inlineStr">
        <is>
          <t>assets/brand, OQ-01, U-16</t>
        </is>
      </c>
      <c r="H30" s="3" t="inlineStr">
        <is>
          <t>SVGs in assets/brand/vector; clearance memo</t>
        </is>
      </c>
      <c r="I30" s="3" t="inlineStr">
        <is>
          <t>S</t>
        </is>
      </c>
      <c r="J30" s="3" t="inlineStr"/>
      <c r="K30" s="3" t="inlineStr">
        <is>
          <t>Done</t>
        </is>
      </c>
      <c r="L30" s="3" t="inlineStr">
        <is>
          <t>Code merged</t>
        </is>
      </c>
      <c r="M30" s="3" t="inlineStr"/>
      <c r="N30" s="3" t="inlineStr"/>
      <c r="O30" s="3" t="inlineStr"/>
      <c r="P30" s="3" t="inlineStr">
        <is>
          <t>Vector masters (assets/brand/vector, generated by build.py: P-ribbon symbol, flat small symbol, horizontal and stacked lockups light/dark, app icons, banner; wordmark outlined from Geist, OFL); PNGs, favicons and ICO re-exported from them; the app uses the SVG symbol and an SVG favicon.; not published yet. Revamped site: animated product story, original illustrations, scroll motion, persona tabs, tamper demo, Get started page rendering the guides; published to GitHub Pages. Done: vector masters, icons and the published site; trademark and domain search is the owner's task.</t>
        </is>
      </c>
    </row>
    <row r="31">
      <c r="A31" s="3" t="inlineStr">
        <is>
          <t>BPMS-040</t>
        </is>
      </c>
      <c r="B31" s="3" t="inlineStr">
        <is>
          <t>LIB</t>
        </is>
      </c>
      <c r="C31" s="3" t="inlineStr">
        <is>
          <t>Artifacts, versions, lifecycle state machine, immutability trigger, SoD</t>
        </is>
      </c>
      <c r="D31" s="3" t="inlineStr">
        <is>
          <t>P0</t>
        </is>
      </c>
      <c r="E31" s="3" t="inlineStr">
        <is>
          <t>R1</t>
        </is>
      </c>
      <c r="F31" s="3" t="inlineStr">
        <is>
          <t>Backend</t>
        </is>
      </c>
      <c r="G31" s="3" t="inlineStr">
        <is>
          <t>FR-G04, T07</t>
        </is>
      </c>
      <c r="H31" s="3" t="inlineStr">
        <is>
          <t>T07 passes</t>
        </is>
      </c>
      <c r="I31" s="3" t="inlineStr">
        <is>
          <t>L</t>
        </is>
      </c>
      <c r="J31" s="3" t="inlineStr">
        <is>
          <t>BPMS-024,026</t>
        </is>
      </c>
      <c r="K31" s="3" t="inlineStr">
        <is>
          <t>Done</t>
        </is>
      </c>
      <c r="L31" s="3" t="inlineStr">
        <is>
          <t>Automated tests</t>
        </is>
      </c>
      <c r="M31" s="3" t="inlineStr"/>
      <c r="N31" s="3" t="inlineStr"/>
      <c r="O31" s="3" t="inlineStr"/>
      <c r="P31" s="3" t="inlineStr">
        <is>
          <t>procera-library (migration 0012): artifacts + versions for SOPs and policies; lifecycle draft → in_review → approved → scheduled/published → deprecated → retired with guarded transitions; one open draft per artifact; reviews in numbered rounds, approvals from governance.review.* settings, author never reviews own version, distinct approvers, comment required to reject; content_hash = SHA-256(JCS) frozen at approval and a trigger forbids changing approved content or moving back (T07); publish supersedes, future effective_at schedules (worker + drain), reason for change on later versions, retire; step-up for controlled approve/publish; outbox artifact.published.v1; every transition audited. E2E-R1-LIB-01..05. Process artifacts arrive with the designer/compiler Review notifications (A-25): reviewers told on submit (in-app + email), author told the outcome with the comment. E2E-R1-FLOW-03, 05. Clean reading view for plain readers (details tucked away); authors aren't offered review of their own version. E2E-R1-UI-73.</t>
        </is>
      </c>
    </row>
    <row r="32">
      <c r="A32" s="3" t="inlineStr">
        <is>
          <t>BPMS-041</t>
        </is>
      </c>
      <c r="B32" s="3" t="inlineStr">
        <is>
          <t>LIB</t>
        </is>
      </c>
      <c r="C32" s="3" t="inlineStr">
        <is>
          <t>Landscape, collections, owners, RACI, visibility</t>
        </is>
      </c>
      <c r="D32" s="3" t="inlineStr">
        <is>
          <t>P0</t>
        </is>
      </c>
      <c r="E32" s="3" t="inlineStr">
        <is>
          <t>R1</t>
        </is>
      </c>
      <c r="F32" s="3" t="inlineStr">
        <is>
          <t>Fullstack</t>
        </is>
      </c>
      <c r="G32" s="3" t="inlineStr">
        <is>
          <t>FR-G01/G02</t>
        </is>
      </c>
      <c r="H32" s="3" t="inlineStr">
        <is>
          <t>Search authorized-only</t>
        </is>
      </c>
      <c r="I32" s="3" t="inlineStr">
        <is>
          <t>M</t>
        </is>
      </c>
      <c r="J32" s="3" t="inlineStr">
        <is>
          <t>BPMS-040</t>
        </is>
      </c>
      <c r="K32" s="3" t="inlineStr">
        <is>
          <t>Done</t>
        </is>
      </c>
      <c r="L32" s="3" t="inlineStr">
        <is>
          <t>Automated tests</t>
        </is>
      </c>
      <c r="M32" s="3" t="inlineStr"/>
      <c r="N32" s="3" t="inlineStr"/>
      <c r="O32" s="3" t="inlineStr"/>
      <c r="P32" s="3" t="inlineStr">
        <is>
          <t>Collections (migration 0025): a tree with uuid[] paths, sibling-unique names, moves that rewrite the subtree, empty-only deletion; per-collection visibility (audience) hiding filed documents from view-only readers in lists, reads, search, the policy portal and the tree (A-20); document owner hand-over; RACI per document (members or groups, one accountable) with formula-safe CSV export (audited); Library collection rail with filtering and management, document-page Collection/Owner/RACI rows. E2E-R1-LIB-11..13, E2E-R1-UI-27. Later: landscape for processes (domain › capability › process) with the designer, collection-scoped grants (A-20).</t>
        </is>
      </c>
    </row>
    <row r="33">
      <c r="A33" s="3" t="inlineStr">
        <is>
          <t>BPMS-042</t>
        </is>
      </c>
      <c r="B33" s="3" t="inlineStr">
        <is>
          <t>LIB</t>
        </is>
      </c>
      <c r="C33" s="3" t="inlineStr">
        <is>
          <t>SOP/policy block editor + renderer (web/PDF)</t>
        </is>
      </c>
      <c r="D33" s="3" t="inlineStr">
        <is>
          <t>P0</t>
        </is>
      </c>
      <c r="E33" s="3" t="inlineStr">
        <is>
          <t>R1</t>
        </is>
      </c>
      <c r="F33" s="3" t="inlineStr">
        <is>
          <t>FE</t>
        </is>
      </c>
      <c r="G33" s="3" t="inlineStr">
        <is>
          <t>FR-G03, ADR-0013, U-10</t>
        </is>
      </c>
      <c r="H33" s="3" t="inlineStr">
        <is>
          <t>Tagged PDF export</t>
        </is>
      </c>
      <c r="I33" s="3" t="inlineStr">
        <is>
          <t>L</t>
        </is>
      </c>
      <c r="J33" s="3" t="inlineStr">
        <is>
          <t>BPMS-040</t>
        </is>
      </c>
      <c r="K33" s="3" t="inlineStr">
        <is>
          <t>Done</t>
        </is>
      </c>
      <c r="L33" s="3" t="inlineStr">
        <is>
          <t>Automated tests</t>
        </is>
      </c>
      <c r="M33" s="3" t="inlineStr"/>
      <c r="N33" s="3" t="inlineStr"/>
      <c r="O33" s="3" t="inlineStr"/>
      <c r="P33" s="3" t="inlineStr">
        <is>
          <t>Block editor (TipTap core, MIT; U-10 closed): headings, bold/italic/links, bullet and numbered lists, callouts, tables, accessible single-tab-stop toolbar, markdown shortcuts; block model validated server-side (ADR-0013 as built); shared renderer; HTML (print to tagged PDF in the browser) and Markdown export with a superseded banner, audited. E2E-R1-LIB-14, E2E-R1-UI-07, 28. Word (.docx) export with heading styles, numbering, tables and links, reproducible bytes; Export menu. E2E-R1-UI-44. Image blocks (alt text required, attached clean images only, embedded in print HTML; A-30) inserted from the editor. E2E-R1-LIB-15, UI-45. Done for 0.1; server-side tagged PDF, DOCX import and variables blocks moved to BPMS-208.</t>
        </is>
      </c>
    </row>
    <row r="34">
      <c r="A34" s="3" t="inlineStr">
        <is>
          <t>BPMS-043</t>
        </is>
      </c>
      <c r="B34" s="3" t="inlineStr">
        <is>
          <t>LIB</t>
        </is>
      </c>
      <c r="C34" s="3" t="inlineStr">
        <is>
          <t>Semantic diff across artifact kinds</t>
        </is>
      </c>
      <c r="D34" s="3" t="inlineStr">
        <is>
          <t>P0</t>
        </is>
      </c>
      <c r="E34" s="3" t="inlineStr">
        <is>
          <t>R1</t>
        </is>
      </c>
      <c r="F34" s="3" t="inlineStr">
        <is>
          <t>Fullstack</t>
        </is>
      </c>
      <c r="G34" s="3" t="inlineStr">
        <is>
          <t>FR-G05</t>
        </is>
      </c>
      <c r="H34" s="3" t="inlineStr">
        <is>
          <t>Diff covers bundle artifacts</t>
        </is>
      </c>
      <c r="I34" s="3" t="inlineStr">
        <is>
          <t>M</t>
        </is>
      </c>
      <c r="J34" s="3" t="inlineStr">
        <is>
          <t>BPMS-040</t>
        </is>
      </c>
      <c r="K34" s="3" t="inlineStr">
        <is>
          <t>Done</t>
        </is>
      </c>
      <c r="L34" s="3" t="inlineStr">
        <is>
          <t>Automated tests</t>
        </is>
      </c>
      <c r="M34" s="3" t="inlineStr"/>
      <c r="N34" s="3" t="inlineStr"/>
      <c r="O34" s="3" t="inlineStr"/>
      <c r="P34" s="3" t="inlineStr">
        <is>
          <t>UI: Compare page (/library/:id/compare) with word-level ins/del, version pickers, E2E-R1-UI-20. procera-library diff module: block-level LCS alignment of SOP/policy content with word-level diffs inside changed blocks (removals and additions paired by position within an unmatched run, same block type → changed); GET /versions/{a}/diff/{b} (same artifact only); unit + property test (applying a diff always rebuilds the target) + E2E-R1-LIB-06. Process/form/rule bundle artifacts diff once their editors land (BPMS-050+).</t>
        </is>
      </c>
    </row>
    <row r="35">
      <c r="A35" s="3" t="inlineStr">
        <is>
          <t>BPMS-044</t>
        </is>
      </c>
      <c r="B35" s="3" t="inlineStr">
        <is>
          <t>LIB</t>
        </is>
      </c>
      <c r="C35" s="3" t="inlineStr">
        <is>
          <t>Reviews, change requests, effective-date scheduling, renewal date, verification badge</t>
        </is>
      </c>
      <c r="D35" s="3" t="inlineStr">
        <is>
          <t>P0</t>
        </is>
      </c>
      <c r="E35" s="3" t="inlineStr">
        <is>
          <t>R1</t>
        </is>
      </c>
      <c r="F35" s="3" t="inlineStr">
        <is>
          <t>Fullstack</t>
        </is>
      </c>
      <c r="G35" s="3" t="inlineStr">
        <is>
          <t>FR-G05/G07, FX-G01/G02</t>
        </is>
      </c>
      <c r="H35" s="3" t="inlineStr">
        <is>
          <t>Expired flagged</t>
        </is>
      </c>
      <c r="I35" s="3" t="inlineStr">
        <is>
          <t>M</t>
        </is>
      </c>
      <c r="J35" s="3" t="inlineStr">
        <is>
          <t>BPMS-040</t>
        </is>
      </c>
      <c r="K35" s="3" t="inlineStr">
        <is>
          <t>Done</t>
        </is>
      </c>
      <c r="L35" s="3" t="inlineStr">
        <is>
          <t>Automated tests</t>
        </is>
      </c>
      <c r="M35" s="3" t="inlineStr"/>
      <c r="N35" s="3" t="inlineStr"/>
      <c r="O35" s="3" t="inlineStr"/>
      <c r="P35" s="3" t="inlineStr">
        <is>
          <t>UI: document governance panel (review status, recertify, schedule, verify with step-up, suggested changes with accept/decline/implemented), E2E-R1-UI-18..19. Migration 0016: review cadence (per-artifact override or governance.review_cadence.default/.controlled), next_review_at set on every publish, recertification, worker flag of passed review dates (once; artifact.review_overdue.v1 → owner in-app notification), verification badge with governance.verification.validity expiry, change requests (open → accepted/declined/implemented, linked to the implementing version); all audited and in the audit contract; E2E-R1-LIB-07..10. Effective-date scheduling shipped with BPMS-040.</t>
        </is>
      </c>
    </row>
    <row r="36">
      <c r="A36" s="3" t="inlineStr">
        <is>
          <t>BPMS-045</t>
        </is>
      </c>
      <c r="B36" s="3" t="inlineStr">
        <is>
          <t>LIB</t>
        </is>
      </c>
      <c r="C36" s="3" t="inlineStr">
        <is>
          <t>Policy library + employee policy portal + applicability</t>
        </is>
      </c>
      <c r="D36" s="3" t="inlineStr">
        <is>
          <t>P0</t>
        </is>
      </c>
      <c r="E36" s="3" t="inlineStr">
        <is>
          <t>R1</t>
        </is>
      </c>
      <c r="F36" s="3" t="inlineStr">
        <is>
          <t>Fullstack</t>
        </is>
      </c>
      <c r="G36" s="3" t="inlineStr">
        <is>
          <t>FR-PL01–PL03</t>
        </is>
      </c>
      <c r="H36" s="3" t="inlineStr">
        <is>
          <t>Applicability enforced</t>
        </is>
      </c>
      <c r="I36" s="3" t="inlineStr">
        <is>
          <t>M</t>
        </is>
      </c>
      <c r="J36" s="3" t="inlineStr">
        <is>
          <t>BPMS-042</t>
        </is>
      </c>
      <c r="K36" s="3" t="inlineStr">
        <is>
          <t>Done</t>
        </is>
      </c>
      <c r="L36" s="3" t="inlineStr">
        <is>
          <t>Automated tests</t>
        </is>
      </c>
      <c r="M36" s="3" t="inlineStr"/>
      <c r="N36" s="3" t="inlineStr"/>
      <c r="O36" s="3" t="inlineStr"/>
      <c r="P36" s="3" t="inlineStr">
        <is>
          <t>Category, applicability and restricted policies; Policies portal with what changed (migration 0017, A-14); re-acknowledgement on publish (0019): major/minor semver fixed at publish or scheduling, governance.reack.policy/window, campaign to the applicable audience bound to the exact version hash (immediate in the publish transaction, scheduled on go-live via the bus), publish preview and dialog. E2E-R1-POL-01..05, E2E-R1-UI-21..22, 24. Later: per-artifact acknowledgement requirement (docs/05), closing older campaigns (A-16)</t>
        </is>
      </c>
    </row>
    <row r="37">
      <c r="A37" s="3" t="inlineStr">
        <is>
          <t>BPMS-046</t>
        </is>
      </c>
      <c r="B37" s="3" t="inlineStr">
        <is>
          <t>CAMP</t>
        </is>
      </c>
      <c r="C37" s="3" t="inlineStr">
        <is>
          <t>Campaign engine: ack/quiz-lite, audience snapshot, reminders, escalation, new joiners, evidence export</t>
        </is>
      </c>
      <c r="D37" s="3" t="inlineStr">
        <is>
          <t>P0</t>
        </is>
      </c>
      <c r="E37" s="3" t="inlineStr">
        <is>
          <t>R1</t>
        </is>
      </c>
      <c r="F37" s="3" t="inlineStr">
        <is>
          <t>Backend</t>
        </is>
      </c>
      <c r="G37" s="3" t="inlineStr">
        <is>
          <t>FR-AK01–04, ADR-0017</t>
        </is>
      </c>
      <c r="H37" s="3" t="inlineStr">
        <is>
          <t>5k recipients/min</t>
        </is>
      </c>
      <c r="I37" s="3" t="inlineStr">
        <is>
          <t>L</t>
        </is>
      </c>
      <c r="J37" s="3" t="inlineStr">
        <is>
          <t>BPMS-029</t>
        </is>
      </c>
      <c r="K37" s="3" t="inlineStr">
        <is>
          <t>Done</t>
        </is>
      </c>
      <c r="L37" s="3" t="inlineStr">
        <is>
          <t>Automated tests</t>
        </is>
      </c>
      <c r="M37" s="3" t="inlineStr"/>
      <c r="N37" s="3" t="inlineStr"/>
      <c r="O37" s="3" t="inlineStr"/>
      <c r="P37" s="3" t="inlineStr">
        <is>
          <t>procera-campaigns (migration 0013): acknowledgement campaigns for a published SOP/policy version; audience via the shared resolver (snapshot or dynamic), assignments with in-app + email notices, acknowledgement bound to version id + content hash + statement + auth method, reminder ladder and one-time manager escalation by the scheduler, dynamic new joiners, close/cancel, progress, audited evidence CSV; settings campaign.*; E2E-R1-CMP-01..07. Later: quiz-lite, exemptions, signed PDF evidence, auto re-ack on major publish Campaign subjects include announcements (0033). Leavers' pending acknowledgements close as left organisation (migration 0038), excluded from progress, never marked acknowledged.</t>
        </is>
      </c>
    </row>
    <row r="38">
      <c r="A38" s="3" t="inlineStr">
        <is>
          <t>BPMS-047</t>
        </is>
      </c>
      <c r="B38" s="3" t="inlineStr">
        <is>
          <t>COMMS</t>
        </is>
      </c>
      <c r="C38" s="3" t="inlineStr">
        <is>
          <t>Announcements: compose, targeting, schedule/expiry, pin, required ack, approval, analytics</t>
        </is>
      </c>
      <c r="D38" s="3" t="inlineStr">
        <is>
          <t>P0</t>
        </is>
      </c>
      <c r="E38" s="3" t="inlineStr">
        <is>
          <t>R1</t>
        </is>
      </c>
      <c r="F38" s="3" t="inlineStr">
        <is>
          <t>Fullstack</t>
        </is>
      </c>
      <c r="G38" s="3" t="inlineStr">
        <is>
          <t>FR-AN01–06, FX-C01</t>
        </is>
      </c>
      <c r="H38" s="3" t="inlineStr">
        <is>
          <t>J14 passes</t>
        </is>
      </c>
      <c r="I38" s="3" t="inlineStr">
        <is>
          <t>L</t>
        </is>
      </c>
      <c r="J38" s="3" t="inlineStr">
        <is>
          <t>BPMS-046</t>
        </is>
      </c>
      <c r="K38" s="3" t="inlineStr">
        <is>
          <t>Done</t>
        </is>
      </c>
      <c r="L38" s="3" t="inlineStr">
        <is>
          <t>Automated tests</t>
        </is>
      </c>
      <c r="M38" s="3" t="inlineStr"/>
      <c r="N38" s="3" t="inlineStr"/>
      <c r="O38" s="3" t="inlineStr"/>
      <c r="P38" s="3" t="inlineStr">
        <is>
          <t>procera-announcements (migration 0014): drafts with block content, audience snapshot, approval per announcements.approval_required with SoD, scheduling + derived expiry, pinned/critical, channels from settings, in-app + email delivery via the outbox, read and acknowledgement receipts, analytics, archive; settings announcements.*; E2E-R1-ANN-01..06. Later: poster scoping, reminders/escalation for unacked, comments/reactions, reach preview Approval loop notifications (A-25): approvers told on submit, author told approved or sent back. E2E-R1-FLOW-04, 06. Announcement acknowledgements run on the campaign engine (migration 0033, A-32): confirm-by date, reminder ladder, one manager escalation, archive closes; composer Confirm by and drawer link. E2E-R1-09.</t>
        </is>
      </c>
    </row>
    <row r="39">
      <c r="A39" s="3" t="inlineStr">
        <is>
          <t>BPMS-048</t>
        </is>
      </c>
      <c r="B39" s="3" t="inlineStr">
        <is>
          <t>NOTIF</t>
        </is>
      </c>
      <c r="C39" s="3" t="inlineStr">
        <is>
          <t>In-app notification centre + SMTP email + templates + digests</t>
        </is>
      </c>
      <c r="D39" s="3" t="inlineStr">
        <is>
          <t>P0</t>
        </is>
      </c>
      <c r="E39" s="3" t="inlineStr">
        <is>
          <t>R1</t>
        </is>
      </c>
      <c r="F39" s="3" t="inlineStr">
        <is>
          <t>Fullstack</t>
        </is>
      </c>
      <c r="G39" s="3" t="inlineStr">
        <is>
          <t>FR-N01/N02/N04</t>
        </is>
      </c>
      <c r="H39" s="3" t="inlineStr">
        <is>
          <t>Bounce handling</t>
        </is>
      </c>
      <c r="I39" s="3" t="inlineStr">
        <is>
          <t>M</t>
        </is>
      </c>
      <c r="J39" s="3" t="inlineStr">
        <is>
          <t>BPMS-029</t>
        </is>
      </c>
      <c r="K39" s="3" t="inlineStr">
        <is>
          <t>Done</t>
        </is>
      </c>
      <c r="L39" s="3" t="inlineStr">
        <is>
          <t>Automated tests</t>
        </is>
      </c>
      <c r="M39" s="3" t="inlineStr"/>
      <c r="N39" s="3" t="inlineStr"/>
      <c r="O39" s="3" t="inlineStr"/>
      <c r="P39" s="3" t="inlineStr">
        <is>
          <t>procera-notify (migrations 0011, 0023): templates in code (minijinja, strict, HTML auto-escaped), in-app inbox, sealed email queue with dedupe, SMTP delivery via lettre with backoff; digests (daily/weekly at the member's hour and time zone; only normal emails are digested), quiet hours (emails held until the window ends; critical override), bounce suppression on permanent SMTP rejection (global email_suppressions); member preferences with workspace defaults (notify.digest.*, notify.quiet_hours.*); Notification preferences page. E2E-R1-NOT-01..05, E2E-R1-UI-25. Later: localisation + terminology (CFG-008), per-day quiet hours (A-15), more event kinds as features land</t>
        </is>
      </c>
    </row>
    <row r="40">
      <c r="A40" s="3" t="inlineStr">
        <is>
          <t>BPMS-049</t>
        </is>
      </c>
      <c r="B40" s="3" t="inlineStr">
        <is>
          <t>SRCH</t>
        </is>
      </c>
      <c r="C40" s="3" t="inlineStr">
        <is>
          <t>Postgres FTS + trgm, permission-filtered search</t>
        </is>
      </c>
      <c r="D40" s="3" t="inlineStr">
        <is>
          <t>P0</t>
        </is>
      </c>
      <c r="E40" s="3" t="inlineStr">
        <is>
          <t>R1</t>
        </is>
      </c>
      <c r="F40" s="3" t="inlineStr">
        <is>
          <t>Backend</t>
        </is>
      </c>
      <c r="G40" s="3" t="inlineStr">
        <is>
          <t>04 §6</t>
        </is>
      </c>
      <c r="H40" s="3" t="inlineStr">
        <is>
          <t>No restricted leakage</t>
        </is>
      </c>
      <c r="I40" s="3" t="inlineStr">
        <is>
          <t>M</t>
        </is>
      </c>
      <c r="J40" s="3" t="inlineStr">
        <is>
          <t>BPMS-040</t>
        </is>
      </c>
      <c r="K40" s="3" t="inlineStr">
        <is>
          <t>Done</t>
        </is>
      </c>
      <c r="L40" s="3" t="inlineStr">
        <is>
          <t>Automated tests</t>
        </is>
      </c>
      <c r="M40" s="3" t="inlineStr"/>
      <c r="N40" s="3" t="inlineStr"/>
      <c r="O40" s="3" t="inlineStr"/>
      <c r="P40" s="3" t="inlineStr">
        <is>
          <t>procera-search (migration 0015): Postgres FTS (english + simple) + pg_trgm fuzzy/prefix over SOPs, policies (artifact tsv kept current by triggers), members, departments, groups; one ranked list with escaped &lt;mark&gt; snippets; permission-filtered per type with Cedar before querying; RLS isolation; E2E-R1-SRCH-01..03</t>
        </is>
      </c>
    </row>
    <row r="41">
      <c r="A41" s="3" t="inlineStr">
        <is>
          <t>BPMS-060</t>
        </is>
      </c>
      <c r="B41" s="3" t="inlineStr">
        <is>
          <t>FILE</t>
        </is>
      </c>
      <c r="C41" s="3" t="inlineStr">
        <is>
          <t>Files pipeline: resumable upload, hash, sniff, ClamAV, quarantine, signed URLs</t>
        </is>
      </c>
      <c r="D41" s="3" t="inlineStr">
        <is>
          <t>P0</t>
        </is>
      </c>
      <c r="E41" s="3" t="inlineStr">
        <is>
          <t>R1</t>
        </is>
      </c>
      <c r="F41" s="3" t="inlineStr">
        <is>
          <t>Backend</t>
        </is>
      </c>
      <c r="G41" s="3" t="inlineStr">
        <is>
          <t>FR-F01–F03, F05</t>
        </is>
      </c>
      <c r="H41" s="3" t="inlineStr">
        <is>
          <t>EICAR quarantined; SEC-10</t>
        </is>
      </c>
      <c r="I41" s="3" t="inlineStr">
        <is>
          <t>L</t>
        </is>
      </c>
      <c r="J41" s="3" t="inlineStr">
        <is>
          <t>BPMS-030</t>
        </is>
      </c>
      <c r="K41" s="3" t="inlineStr">
        <is>
          <t>Done</t>
        </is>
      </c>
      <c r="L41" s="3" t="inlineStr">
        <is>
          <t>Automated tests</t>
        </is>
      </c>
      <c r="M41" s="3" t="inlineStr"/>
      <c r="N41" s="3" t="inlineStr"/>
      <c r="O41" s="3" t="inlineStr"/>
      <c r="P41" s="3" t="inlineStr">
        <is>
          <t>procera-files (migration 0027): resumable chunked upload (offset-checked, resume from received), size limit and storage quota, SHA-256, magic-byte type with a platform deny list (executables, scripts, HTML, SVG), clamd INSTREAM scanner (built-in EICAR-only fallback, warned), quarantine and rejection, per-file DEK under the workspace KEK (rotated and shredded with it), local storage port, 5-minute signed download links re-authorized per request (nosniff, CSP sandbox), audited; attachments on draft versions fixed once past draft. E2E-R1-FILE-01..03, E2E-R1-UI-32..33. Request attachments (migration 0043): files linked to requests (object type request, execution_record retention, undeletable while held), preview/download for anyone who may open the request (E2E-R2-41/42). Done for 0.1/0.2 (local storage); S3 backend and EXIF stripping moved to BPMS-209.</t>
        </is>
      </c>
    </row>
    <row r="42">
      <c r="A42" s="3" t="inlineStr">
        <is>
          <t>BPMS-061</t>
        </is>
      </c>
      <c r="B42" s="3" t="inlineStr">
        <is>
          <t>FILE</t>
        </is>
      </c>
      <c r="C42" s="3" t="inlineStr">
        <is>
          <t>Previews (image/PDF) in sandbox; Office preview spike</t>
        </is>
      </c>
      <c r="D42" s="3" t="inlineStr">
        <is>
          <t>P0</t>
        </is>
      </c>
      <c r="E42" s="3" t="inlineStr">
        <is>
          <t>R1</t>
        </is>
      </c>
      <c r="F42" s="3" t="inlineStr">
        <is>
          <t>Backend</t>
        </is>
      </c>
      <c r="G42" s="3" t="inlineStr">
        <is>
          <t>FR-F04, U-08</t>
        </is>
      </c>
      <c r="H42" s="3" t="inlineStr">
        <is>
          <t>No active content</t>
        </is>
      </c>
      <c r="I42" s="3" t="inlineStr">
        <is>
          <t>M</t>
        </is>
      </c>
      <c r="J42" s="3" t="inlineStr">
        <is>
          <t>BPMS-060</t>
        </is>
      </c>
      <c r="K42" s="3" t="inlineStr">
        <is>
          <t>Done</t>
        </is>
      </c>
      <c r="L42" s="3" t="inlineStr">
        <is>
          <t>Automated tests</t>
        </is>
      </c>
      <c r="M42" s="3" t="inlineStr"/>
      <c r="N42" s="3" t="inlineStr"/>
      <c r="O42" s="3" t="inlineStr"/>
      <c r="P42" s="3" t="inlineStr">
        <is>
          <t>Image/PDF previews: GET /files/{id}/preview-url (kind image|pdf|none) and GET /files/preview/{token} (own preview HMAC purpose, 2-minute TTL, re-authorized per request; clean PNG/JPEG/GIF/WebP/PDF only by recorded type plus fresh sniff, else 415; inline under CSP sandbox, nosniff, CORP same-origin, no-store; audited file.previewed); JPEG Exif/XMP/IPTC stripped from previews (files.exif_strip); one Preview dialog (attachments, Admin › Files) with pdf.js, docx-preview in a script-less sandboxed frame, SheetJS CE and CSV tables, download fallback; DOCX/XLSX checked against the zip central directory. E2E-R1-FILE-04, E2E-R1-UI-34, E2E-R1-UI-66..69. Done for 0.1; separate preview origin and EXIF stripping moved to BPMS-209.</t>
        </is>
      </c>
    </row>
    <row r="43">
      <c r="A43" s="3" t="inlineStr">
        <is>
          <t>BPMS-062</t>
        </is>
      </c>
      <c r="B43" s="3" t="inlineStr">
        <is>
          <t>FILE</t>
        </is>
      </c>
      <c r="C43" s="3" t="inlineStr">
        <is>
          <t>Workspace Files view, quotas, orphan cleanup</t>
        </is>
      </c>
      <c r="D43" s="3" t="inlineStr">
        <is>
          <t>P0</t>
        </is>
      </c>
      <c r="E43" s="3" t="inlineStr">
        <is>
          <t>R1</t>
        </is>
      </c>
      <c r="F43" s="3" t="inlineStr">
        <is>
          <t>FE</t>
        </is>
      </c>
      <c r="G43" s="3" t="inlineStr">
        <is>
          <t>FR-F06/F07</t>
        </is>
      </c>
      <c r="H43" s="3" t="inlineStr">
        <is>
          <t>Held files undeletable</t>
        </is>
      </c>
      <c r="I43" s="3" t="inlineStr">
        <is>
          <t>M</t>
        </is>
      </c>
      <c r="J43" s="3" t="inlineStr">
        <is>
          <t>BPMS-060,028</t>
        </is>
      </c>
      <c r="K43" s="3" t="inlineStr">
        <is>
          <t>Done</t>
        </is>
      </c>
      <c r="L43" s="3" t="inlineStr">
        <is>
          <t>Automated tests</t>
        </is>
      </c>
      <c r="M43" s="3" t="inlineStr"/>
      <c r="N43" s="3" t="inlineStr"/>
      <c r="O43" s="3" t="inlineStr"/>
      <c r="P43" s="3" t="inlineStr">
        <is>
          <t>Files admin view: usage against the storage quota, scan states, every file with uploader, use and scan result, delete (blocked while held by a version past draft), orphan report and purge (files.orphan_purge_after). E2E-R1-FILE-03, E2E-R1-UI-33. Files view on the DataGrid: retention class per file (from what holds it), last accessed (migration 0030, set on download/preview), bulk delete; audit-export files held by their job. E2E-R1-UI-43. Done for 0.1; the legal-hold column lands with the holds engine (BPMS-164).</t>
        </is>
      </c>
    </row>
    <row r="44">
      <c r="A44" s="3" t="inlineStr">
        <is>
          <t>BPMS-063</t>
        </is>
      </c>
      <c r="B44" s="3" t="inlineStr">
        <is>
          <t>ADMIN</t>
        </is>
      </c>
      <c r="C44" s="3" t="inlineStr">
        <is>
          <t>Workspace overview dashboard + people &amp; access monitor</t>
        </is>
      </c>
      <c r="D44" s="3" t="inlineStr">
        <is>
          <t>P0</t>
        </is>
      </c>
      <c r="E44" s="3" t="inlineStr">
        <is>
          <t>R1</t>
        </is>
      </c>
      <c r="F44" s="3" t="inlineStr">
        <is>
          <t>FE</t>
        </is>
      </c>
      <c r="G44" s="3" t="inlineStr">
        <is>
          <t>FR-A01/A06</t>
        </is>
      </c>
      <c r="H44" s="3" t="inlineStr">
        <is>
          <t>Every tile drills down</t>
        </is>
      </c>
      <c r="I44" s="3" t="inlineStr">
        <is>
          <t>L</t>
        </is>
      </c>
      <c r="J44" s="3" t="inlineStr">
        <is>
          <t>BPMS-028</t>
        </is>
      </c>
      <c r="K44" s="3" t="inlineStr">
        <is>
          <t>Done</t>
        </is>
      </c>
      <c r="L44" s="3" t="inlineStr">
        <is>
          <t>Automated tests</t>
        </is>
      </c>
      <c r="M44" s="3" t="inlineStr"/>
      <c r="N44" s="3" t="inlineStr"/>
      <c r="O44" s="3" t="inlineStr"/>
      <c r="P44" s="3" t="inlineStr">
        <is>
          <t>API: GET /admin/overview (needs-attention ranking: overdue acknowledgements, admins without MFA, documents past review, drafts in review, announcements to approve; acknowledgement metrics, published-versions series, security strip from the audit chain, departments; requests/storage reported as null with guidance until those modules ship) and GET /admin/people (MFA, last active, roles, dormant, privileged, expiring grants, pending invites, filters); migration 0018 discovery.member_login_failures. UI: Overview (typographic summary, ranked list, metric rows, security strip; time range + department in the URL) and People &amp; access (filter chips). E2E-R1-ADM-01..02, E2E-R1-UI-23.</t>
        </is>
      </c>
    </row>
    <row r="45">
      <c r="A45" s="3" t="inlineStr">
        <is>
          <t>BPMS-064</t>
        </is>
      </c>
      <c r="B45" s="3" t="inlineStr">
        <is>
          <t>AUD</t>
        </is>
      </c>
      <c r="C45" s="3" t="inlineStr">
        <is>
          <t>Audit explorer, timelines, saved queries, export</t>
        </is>
      </c>
      <c r="D45" s="3" t="inlineStr">
        <is>
          <t>P0</t>
        </is>
      </c>
      <c r="E45" s="3" t="inlineStr">
        <is>
          <t>R1</t>
        </is>
      </c>
      <c r="F45" s="3" t="inlineStr">
        <is>
          <t>Fullstack</t>
        </is>
      </c>
      <c r="G45" s="3" t="inlineStr">
        <is>
          <t>FR-T03/T04</t>
        </is>
      </c>
      <c r="H45" s="3" t="inlineStr">
        <is>
          <t>P95&lt;2s @10M</t>
        </is>
      </c>
      <c r="I45" s="3" t="inlineStr">
        <is>
          <t>L</t>
        </is>
      </c>
      <c r="J45" s="3" t="inlineStr">
        <is>
          <t>BPMS-026</t>
        </is>
      </c>
      <c r="K45" s="3" t="inlineStr">
        <is>
          <t>Done</t>
        </is>
      </c>
      <c r="L45" s="3" t="inlineStr">
        <is>
          <t>Automated tests</t>
        </is>
      </c>
      <c r="M45" s="3" t="inlineStr"/>
      <c r="N45" s="3" t="inlineStr"/>
      <c r="O45" s="3" t="inlineStr"/>
      <c r="P45" s="3" t="inlineStr">
        <is>
          <t>procera_audit::explorer and query: filtered newest-first keyset paging, view-own scope, member names, artifact timelines (own and version events), chain verify, saved queries, capped synchronous CSV/JSONL exports with step-up; POST /audit/query (AND/OR tree, allow-listed fields, depth 2); background export jobs (migration 0029) stored as the requester's encrypted file with notification; Audit log UI with filters, timelines and background exports. E2E-R1-AUDX-01..08, E2E-R1-AUD-01, E2E-R1-UI-17, 39. Later: verify-proof per sequence, the P95 &lt; 2 s at 10 M events benchmark Events name their object (“Expense claims v1”, a person, a campaign).</t>
        </is>
      </c>
    </row>
    <row r="46">
      <c r="A46" s="3" t="inlineStr">
        <is>
          <t>BPMS-065</t>
        </is>
      </c>
      <c r="B46" s="3" t="inlineStr">
        <is>
          <t>PLAT</t>
        </is>
      </c>
      <c r="C46" s="3" t="inlineStr">
        <is>
          <t>System console: workspaces grid, quotas, health, system audit</t>
        </is>
      </c>
      <c r="D46" s="3" t="inlineStr">
        <is>
          <t>P0</t>
        </is>
      </c>
      <c r="E46" s="3" t="inlineStr">
        <is>
          <t>R1</t>
        </is>
      </c>
      <c r="F46" s="3" t="inlineStr">
        <is>
          <t>FE</t>
        </is>
      </c>
      <c r="G46" s="3" t="inlineStr">
        <is>
          <t>FR-S02–S09</t>
        </is>
      </c>
      <c r="H46" s="3" t="inlineStr">
        <is>
          <t>—</t>
        </is>
      </c>
      <c r="I46" s="3" t="inlineStr">
        <is>
          <t>M</t>
        </is>
      </c>
      <c r="J46" s="3" t="inlineStr">
        <is>
          <t>BPMS-020</t>
        </is>
      </c>
      <c r="K46" s="3" t="inlineStr">
        <is>
          <t>Done</t>
        </is>
      </c>
      <c r="L46" s="3" t="inlineStr">
        <is>
          <t>Automated tests</t>
        </is>
      </c>
      <c r="M46" s="3" t="inlineStr"/>
      <c r="N46" s="3" t="inlineStr"/>
      <c r="O46" s="3" t="inlineStr"/>
      <c r="P46" s="3" t="inlineStr">
        <is>
          <t>System console (0022): workspaces grid with usage and quotas, suspend/reactivate/schedule deletion with step-up on the system chain, quota defaults per profile with the member quota enforced at invite, platform health, system audit explorer; console shell for system admins (metadata only, never workspace content). E2E-R1-SYS-01..09, E2E-R1-UI-40..41 (A-18) Email &amp; platform (migration 0037): SMTP settings with the password sealed and never returned, test send with plain-language failures, hot reload without restart, environment wins; public URL, storage and scanning status; first-time setup continues to Email and the first workspace. E2E-R1-UI-64..65. Policy floors page: every floor grouped by Settings category with plain-words meaning; edit with reason, step-up and If-Match; auditors read-only. E2E-R1-UI-76..77.</t>
        </is>
      </c>
    </row>
    <row r="47">
      <c r="A47" s="3" t="inlineStr">
        <is>
          <t>BPMS-120</t>
        </is>
      </c>
      <c r="B47" s="3" t="inlineStr">
        <is>
          <t>PILOT</t>
        </is>
      </c>
      <c r="C47" s="3" t="inlineStr">
        <is>
          <t>Pilot workspaces (Starter + Enterprise profile), 3–5 real processes, 4 weeks</t>
        </is>
      </c>
      <c r="D47" s="3" t="inlineStr">
        <is>
          <t>P0</t>
        </is>
      </c>
      <c r="E47" s="3" t="inlineStr">
        <is>
          <t>R1</t>
        </is>
      </c>
      <c r="F47" s="3" t="inlineStr">
        <is>
          <t>Product</t>
        </is>
      </c>
      <c r="G47" s="3" t="inlineStr">
        <is>
          <t>G3</t>
        </is>
      </c>
      <c r="H47" s="3" t="inlineStr">
        <is>
          <t>G3 checklist</t>
        </is>
      </c>
      <c r="I47" s="3" t="inlineStr">
        <is>
          <t>L</t>
        </is>
      </c>
      <c r="J47" s="3" t="inlineStr">
        <is>
          <t>M6</t>
        </is>
      </c>
      <c r="K47" s="3" t="inlineStr">
        <is>
          <t>Not started</t>
        </is>
      </c>
      <c r="L47" s="3" t="inlineStr">
        <is>
          <t>—</t>
        </is>
      </c>
      <c r="M47" s="3" t="inlineStr"/>
      <c r="N47" s="3" t="inlineStr"/>
      <c r="O47" s="3" t="inlineStr"/>
      <c r="P47" s="3" t="inlineStr"/>
    </row>
    <row r="48">
      <c r="A48" s="3" t="inlineStr">
        <is>
          <t>BPMS-080</t>
        </is>
      </c>
      <c r="B48" s="3" t="inlineStr">
        <is>
          <t>RT</t>
        </is>
      </c>
      <c r="C48" s="3" t="inlineStr">
        <is>
          <t>IR v1 model + compiler (§11 checks, diagnostics, semantic diff)</t>
        </is>
      </c>
      <c r="D48" s="3" t="inlineStr">
        <is>
          <t>P0</t>
        </is>
      </c>
      <c r="E48" s="3" t="inlineStr">
        <is>
          <t>R2</t>
        </is>
      </c>
      <c r="F48" s="3" t="inlineStr">
        <is>
          <t>Runtime</t>
        </is>
      </c>
      <c r="G48" s="3" t="inlineStr">
        <is>
          <t>11, ADR-0003</t>
        </is>
      </c>
      <c r="H48" s="3" t="inlineStr">
        <is>
          <t>All checks covered</t>
        </is>
      </c>
      <c r="I48" s="3" t="inlineStr">
        <is>
          <t>L</t>
        </is>
      </c>
      <c r="J48" s="3" t="inlineStr">
        <is>
          <t>BPMS-009</t>
        </is>
      </c>
      <c r="K48" s="3" t="inlineStr">
        <is>
          <t>Done</t>
        </is>
      </c>
      <c r="L48" s="3" t="inlineStr">
        <is>
          <t>Code merged</t>
        </is>
      </c>
      <c r="M48" s="3" t="inlineStr"/>
      <c r="N48" s="3" t="inlineStr"/>
      <c r="O48" s="3" t="inlineStr"/>
      <c r="P48" s="3" t="inlineStr">
        <is>
          <t>procera-ir crate: IR v1 model, compiler with the docs/11 §11 checks (IR-E001..E034, E100, W001-W002, I001; JSON-pointer diagnostics), JCS canonical form + sha256 checksum, semantic diff with apply; a test per code, property tests, conformance/compiler fixtures, golden checksums for the reference processes (A-21). Expressions type-checked with procera-expr (check 7 complete; IR-E035/E036, A-26); checked forms in Compiled::expressions; reference fixtures in CEL with regenerated checksums. Done: type checking with procera-expr is wired; publish-time environment wiring is BPMS-084.</t>
        </is>
      </c>
    </row>
    <row r="49">
      <c r="A49" s="3" t="inlineStr">
        <is>
          <t>BPMS-081</t>
        </is>
      </c>
      <c r="B49" s="3" t="inlineStr">
        <is>
          <t>RT</t>
        </is>
      </c>
      <c r="C49" s="3" t="inlineStr">
        <is>
          <t>Expression engine integration (typed, budgeted, WASM build)</t>
        </is>
      </c>
      <c r="D49" s="3" t="inlineStr">
        <is>
          <t>P0</t>
        </is>
      </c>
      <c r="E49" s="3" t="inlineStr">
        <is>
          <t>R2</t>
        </is>
      </c>
      <c r="F49" s="3" t="inlineStr">
        <is>
          <t>Runtime</t>
        </is>
      </c>
      <c r="G49" s="3" t="inlineStr">
        <is>
          <t>ADR-0010</t>
        </is>
      </c>
      <c r="H49" s="3" t="inlineStr">
        <is>
          <t>Budget exhaustion = incident</t>
        </is>
      </c>
      <c r="I49" s="3" t="inlineStr">
        <is>
          <t>M</t>
        </is>
      </c>
      <c r="J49" s="3" t="inlineStr">
        <is>
          <t>BPMS-009</t>
        </is>
      </c>
      <c r="K49" s="3" t="inlineStr">
        <is>
          <t>Done</t>
        </is>
      </c>
      <c r="L49" s="3" t="inlineStr">
        <is>
          <t>Code merged</t>
        </is>
      </c>
      <c r="M49" s="3" t="inlineStr"/>
      <c r="N49" s="3" t="inlineStr"/>
      <c r="O49" s="3" t="inlineStr"/>
      <c r="P49" s="3" t="inlineStr">
        <is>
          <t>procera-expr: a typed CEL subset of our own (A-22): static checker with null policy and exact decimal/money, budgeted pure evaluator (10k steps, 1 MiB, 64 KiB strings, 10k lists; exhaustion is IR-R010), stdlib, read sets with the restricted-in-event-facing check; wasm32 build checked; unit + property tests; docs/11 §6.1. Wired end to end: the IR compiler type-checks with it and the runtime CelEvaluator runs stored checked expressions (injected now/tz, budget → IR-R010). Done: wired end to end; business-time functions arrive with calendars in the runtime.</t>
        </is>
      </c>
    </row>
    <row r="50">
      <c r="A50" s="3" t="inlineStr">
        <is>
          <t>BPMS-082</t>
        </is>
      </c>
      <c r="B50" s="3" t="inlineStr">
        <is>
          <t>RT</t>
        </is>
      </c>
      <c r="C50" s="3" t="inlineStr">
        <is>
          <t>Interpreter: advance loop, tokens, splits/joins, end/terminate</t>
        </is>
      </c>
      <c r="D50" s="3" t="inlineStr">
        <is>
          <t>P0</t>
        </is>
      </c>
      <c r="E50" s="3" t="inlineStr">
        <is>
          <t>R2</t>
        </is>
      </c>
      <c r="F50" s="3" t="inlineStr">
        <is>
          <t>Runtime</t>
        </is>
      </c>
      <c r="G50" s="3" t="inlineStr">
        <is>
          <t>04 §4</t>
        </is>
      </c>
      <c r="H50" s="3" t="inlineStr">
        <is>
          <t>Conformance green</t>
        </is>
      </c>
      <c r="I50" s="3" t="inlineStr">
        <is>
          <t>L</t>
        </is>
      </c>
      <c r="J50" s="3" t="inlineStr">
        <is>
          <t>BPMS-080</t>
        </is>
      </c>
      <c r="K50" s="3" t="inlineStr">
        <is>
          <t>Done</t>
        </is>
      </c>
      <c r="L50" s="3" t="inlineStr">
        <is>
          <t>Automated tests</t>
        </is>
      </c>
      <c r="M50" s="3" t="inlineStr"/>
      <c r="N50" s="3" t="inlineStr"/>
      <c r="O50" s="3" t="inlineStr"/>
      <c r="P50" s="3" t="inlineStr">
        <is>
          <t>procera-runtime: pure deterministic interpreter (Program, InstanceState, Stimulus) -&gt; (state, commands) with injected Clock/IdGen; advance loop with a step budget (ContinueAdvance) and loop guard (IR-R004); start/end/terminate, set, decision (+rule tables via the Evaluator port), parallel split/join released exactly once, human.* work items, wait.timer/signal, service.call with typed error boundaries, notify, subprocess.call, case.open, timeout boundaries, cancel; commands with deterministic idempotency keys; unit tests per node kind, the five reference processes end to end, 22 conformance/runtime fixtures, property tests (replay, budgets, joins, terminate); docs/11 §15, A-23. Runs real CEL via CelEvaluator; conformance (24 cases) green on CEL and the stand-in; determinism property over compiled CEL. Done: persistence, timers and work items shipped in BPMS-083/085 and run end to end through the request API (E2E-R2-*).</t>
        </is>
      </c>
    </row>
    <row r="51">
      <c r="A51" s="3" t="inlineStr">
        <is>
          <t>BPMS-083</t>
        </is>
      </c>
      <c r="B51" s="3" t="inlineStr">
        <is>
          <t>RT</t>
        </is>
      </c>
      <c r="C51" s="3" t="inlineStr">
        <is>
          <t>Jobs + timers + scheduler with leases/fencing; calendars; SLA clocks</t>
        </is>
      </c>
      <c r="D51" s="3" t="inlineStr">
        <is>
          <t>P0</t>
        </is>
      </c>
      <c r="E51" s="3" t="inlineStr">
        <is>
          <t>R2</t>
        </is>
      </c>
      <c r="F51" s="3" t="inlineStr">
        <is>
          <t>Runtime</t>
        </is>
      </c>
      <c r="G51" s="3" t="inlineStr">
        <is>
          <t>04 §4.4, FR-E12</t>
        </is>
      </c>
      <c r="H51" s="3" t="inlineStr">
        <is>
          <t>T06; lateness SLO</t>
        </is>
      </c>
      <c r="I51" s="3" t="inlineStr">
        <is>
          <t>L</t>
        </is>
      </c>
      <c r="J51" s="3" t="inlineStr">
        <is>
          <t>BPMS-082</t>
        </is>
      </c>
      <c r="K51" s="3" t="inlineStr">
        <is>
          <t>Done</t>
        </is>
      </c>
      <c r="L51" s="3" t="inlineStr">
        <is>
          <t>Automated tests</t>
        </is>
      </c>
      <c r="M51" s="3" t="inlineStr"/>
      <c r="N51" s="3" t="inlineStr"/>
      <c r="O51" s="3" t="inlineStr"/>
      <c r="P51" s="3" t="inlineStr">
        <is>
          <t>procera-engine + migration 0031: instances persisted (state JSONB, optimistic revision) with an append-only stimulus log and replay; advance = interpreter + state + log + effects (timers, advance jobs, outbox, pending effects) + SLA clocks + audit in one transaction; jobs with SKIP LOCKED claims, 30 s leases, fencing tokens checked on completion, backoff, dead letter, idempotency keys; scheduler run_once fires due timers once, lateness histogram for the 60 s SLO; business calendars (fixed offset, working days/hours, holidays) with property-tested arithmetic; SLA clocks start/pause/resume/stop/breach; unit, property and PostgreSQL integration tests; docs/04 §4.4, A-27..A-29. Wired (0.2): serve --all runs the scheduler every second, /__test/drain drains it, EffectHandler port consumes work items/notifications in the advance transaction, user audit actor (A-28 (4)), pinned checksums, lazy default calendar. Handler timers (0.2): TimerPurpose reminder/escalation armed by the effect port, fired through EffectHandler::fire under a savepoint. Proofs (0.2): restart durability, atomic advance with a failing effect handler, lost-lease re-claim with fencing (E2E-R2-SYS-01) and version pinning — StaticPrograms keeps every registered build by checksum so pinned instances finish on their build while new starts use the new one, audit names the checksum (E2E-R2-SYS-02). Decision trace (PR-08): migration 0042 instance_decisions (branch, conditions, inputs with values except restricted, build) written in the advance transaction. Done for 0.2; release bundles are BPMS-084; restricted-data encryption, at-risk SLA and IANA zones moved to BPMS-210.</t>
        </is>
      </c>
    </row>
    <row r="52">
      <c r="A52" s="3" t="inlineStr">
        <is>
          <t>BPMS-084</t>
        </is>
      </c>
      <c r="B52" s="3" t="inlineStr">
        <is>
          <t>RT</t>
        </is>
      </c>
      <c r="C52" s="3" t="inlineStr">
        <is>
          <t>Release bundles + publish integration</t>
        </is>
      </c>
      <c r="D52" s="3" t="inlineStr">
        <is>
          <t>P0</t>
        </is>
      </c>
      <c r="E52" s="3" t="inlineStr">
        <is>
          <t>R2</t>
        </is>
      </c>
      <c r="F52" s="3" t="inlineStr">
        <is>
          <t>Runtime</t>
        </is>
      </c>
      <c r="G52" s="3" t="inlineStr">
        <is>
          <t>ADR-0012</t>
        </is>
      </c>
      <c r="H52" s="3" t="inlineStr">
        <is>
          <t>T03 passes</t>
        </is>
      </c>
      <c r="I52" s="3" t="inlineStr">
        <is>
          <t>M</t>
        </is>
      </c>
      <c r="J52" s="3" t="inlineStr">
        <is>
          <t>BPMS-040,080</t>
        </is>
      </c>
      <c r="K52" s="3" t="inlineStr">
        <is>
          <t>In progress</t>
        </is>
      </c>
      <c r="L52" s="3" t="inlineStr">
        <is>
          <t>Code merged</t>
        </is>
      </c>
      <c r="M52" s="3" t="inlineStr"/>
      <c r="N52" s="3" t="inlineStr"/>
      <c r="O52" s="3" t="inlineStr"/>
      <c r="P52" s="3" t="inlineStr">
        <is>
          <t>Release bundles (migration 0048, crates/processes): processes are library artifacts whose content is their IR; publishing one runs a hook in the publish transaction that compiles it against a workspace snapshot (references must be published, named groups/roles/positions/people must exist) and either refuses the publish with the diagnostics or writes an immutable release bundle (pinned versions manifest + SHA-256 + program checksum). DbPrograms serves published programs to the engine by key/version/checksum behind the built-ins. Integration test: refused while the SOP is a draft, bundle pins it once published, bundles immutable, engine starts the published program and refuses an unknown build. Next (0.3): starting published processes from the designer, filling process_instances.bundle_id, dependents to update.</t>
        </is>
      </c>
    </row>
    <row r="53">
      <c r="A53" s="3" t="inlineStr">
        <is>
          <t>BPMS-085</t>
        </is>
      </c>
      <c r="B53" s="3" t="inlineStr">
        <is>
          <t>WORK</t>
        </is>
      </c>
      <c r="C53" s="3" t="inlineStr">
        <is>
          <t>Work items, assignment strategies, manager chain, DoA matrix, quorum, per-group</t>
        </is>
      </c>
      <c r="D53" s="3" t="inlineStr">
        <is>
          <t>P0</t>
        </is>
      </c>
      <c r="E53" s="3" t="inlineStr">
        <is>
          <t>R2</t>
        </is>
      </c>
      <c r="F53" s="3" t="inlineStr">
        <is>
          <t>Backend</t>
        </is>
      </c>
      <c r="G53" s="3" t="inlineStr">
        <is>
          <t>FR-E04/E05, FX-D01/D02, FX-E01</t>
        </is>
      </c>
      <c r="H53" s="3" t="inlineStr">
        <is>
          <t>T01 passes</t>
        </is>
      </c>
      <c r="I53" s="3" t="inlineStr">
        <is>
          <t>L</t>
        </is>
      </c>
      <c r="J53" s="3" t="inlineStr">
        <is>
          <t>BPMS-082,023</t>
        </is>
      </c>
      <c r="K53" s="3" t="inlineStr">
        <is>
          <t>Done</t>
        </is>
      </c>
      <c r="L53" s="3" t="inlineStr">
        <is>
          <t>Automated tests</t>
        </is>
      </c>
      <c r="M53" s="3" t="inlineStr"/>
      <c r="N53" s="3" t="inlineStr"/>
      <c r="O53" s="3" t="inlineStr"/>
      <c r="P53" s="3" t="inlineStr">
        <is>
          <t>crates/requests + migration 0040: work items and materialised candidates; assignment resolution (user from principal expressions incl. manager chain, group, role incl. group grants, position; excludeInitiator, excludeActorsOf; fallback; unassigned when nobody remains, A-45); claim strategy, quorum one; decisions lock instance then item (one winner, already_decided, If-Match), SoD re-check; work_assigned/request_decided/request_completed notices; GET /work, POST /work/{id}/decisions; DB tests + E2E-R2-04/-18. Reminders and escalations (0.2): built-in IRs remind before/at due and escalate a business day after (reassign to the manager's manager, or notify the requester's manager), armed as handler timers and cancelled on decision; work_reminder/work_escalated/work_reassigned; timeline Reminded/Escalated; DB tests + E2E-R2-21/-22. Proofs (0.2): 20 concurrent decisions on one step have exactly one winner (E2E-R2-SYS-03); open steps and reminder timers survive a restart and a reminder fires once (E2E-R2-SYS-01). Resolution snapshots record the rule behind each candidate source and why SoD excluded each member.; a failing reminder/escalation handler is retried with backoff (1m→4h, 5 retries) then marked failed with its error (migration 0044). Done for 0.2; claim/unclaim, round-robin/least-loaded, quorum and the DoA matrix moved to BPMS-211.</t>
        </is>
      </c>
    </row>
    <row r="54">
      <c r="A54" s="3" t="inlineStr">
        <is>
          <t>BPMS-086</t>
        </is>
      </c>
      <c r="B54" s="3" t="inlineStr">
        <is>
          <t>WORK</t>
        </is>
      </c>
      <c r="C54" s="3" t="inlineStr">
        <is>
          <t>Delegation, OOO substitution, SoD re-check, send-back</t>
        </is>
      </c>
      <c r="D54" s="3" t="inlineStr">
        <is>
          <t>P0</t>
        </is>
      </c>
      <c r="E54" s="3" t="inlineStr">
        <is>
          <t>R2</t>
        </is>
      </c>
      <c r="F54" s="3" t="inlineStr">
        <is>
          <t>Backend</t>
        </is>
      </c>
      <c r="G54" s="3" t="inlineStr">
        <is>
          <t>12 §9/§10, FX-E05</t>
        </is>
      </c>
      <c r="H54" s="3" t="inlineStr">
        <is>
          <t>T05 passes</t>
        </is>
      </c>
      <c r="I54" s="3" t="inlineStr">
        <is>
          <t>M</t>
        </is>
      </c>
      <c r="J54" s="3" t="inlineStr">
        <is>
          <t>BPMS-085</t>
        </is>
      </c>
      <c r="K54" s="3" t="inlineStr">
        <is>
          <t>Done</t>
        </is>
      </c>
      <c r="L54" s="3" t="inlineStr">
        <is>
          <t>Automated tests</t>
        </is>
      </c>
      <c r="M54" s="3" t="inlineStr"/>
      <c r="N54" s="3" t="inlineStr"/>
      <c r="O54" s="3" t="inlineStr"/>
      <c r="P54" s="3" t="inlineStr">
        <is>
          <t>Out-of-office substitution (0.2, migration 0041): one out-of-office per member (inclusive UTC dates, delegate, note); the resolver hands an away candidate's new work items to the delegate (snapshot records it), the delegate may decide existing open items, decisions record completed_on_behalf_of ('X on behalf of Y'); access.delegation.max_depth (default 1, cycles stop), SoD re-checked for the delegate, the initiator's own steps never handed on, expiry fails closed. GET/PUT/DELETE /me/out-of-office and /members/{id}/out-of-office (admin or manager), audited member.ooo_set/ooo_cleared; Profile and Person page UI; Away chips in My work and the stepper. DB tests + E2E-R2-33/-34, E2E-R2-UI-11.; status at a glance (E2E-R2-UI-12): the account menu sets Available / Out of office, an orange dot on avatars, a Home banner with "I'm back", and others see it on Home › People hover cards, Members and the Person page. Done for 0.2; single-item delegation and send-back to an earlier step moved to BPMS-212.</t>
        </is>
      </c>
    </row>
    <row r="55">
      <c r="A55" s="3" t="inlineStr">
        <is>
          <t>BPMS-087</t>
        </is>
      </c>
      <c r="B55" s="3" t="inlineStr">
        <is>
          <t>RT</t>
        </is>
      </c>
      <c r="C55" s="3" t="inlineStr">
        <is>
          <t>Rule tables (UNIQUE/FIRST/COLLECT)</t>
        </is>
      </c>
      <c r="D55" s="3" t="inlineStr">
        <is>
          <t>P0</t>
        </is>
      </c>
      <c r="E55" s="3" t="inlineStr">
        <is>
          <t>R2</t>
        </is>
      </c>
      <c r="F55" s="3" t="inlineStr">
        <is>
          <t>Runtime</t>
        </is>
      </c>
      <c r="G55" s="3" t="inlineStr">
        <is>
          <t>FR-E10</t>
        </is>
      </c>
      <c r="H55" s="3" t="inlineStr">
        <is>
          <t>Deterministic</t>
        </is>
      </c>
      <c r="I55" s="3" t="inlineStr">
        <is>
          <t>M</t>
        </is>
      </c>
      <c r="J55" s="3" t="inlineStr">
        <is>
          <t>BPMS-081</t>
        </is>
      </c>
      <c r="K55" s="3" t="inlineStr">
        <is>
          <t>Not started</t>
        </is>
      </c>
      <c r="L55" s="3" t="inlineStr">
        <is>
          <t>—</t>
        </is>
      </c>
      <c r="M55" s="3" t="inlineStr"/>
      <c r="N55" s="3" t="inlineStr"/>
      <c r="O55" s="3" t="inlineStr"/>
      <c r="P55" s="3" t="inlineStr"/>
    </row>
    <row r="56">
      <c r="A56" s="3" t="inlineStr">
        <is>
          <t>BPMS-088</t>
        </is>
      </c>
      <c r="B56" s="3" t="inlineStr">
        <is>
          <t>RT</t>
        </is>
      </c>
      <c r="C56" s="3" t="inlineStr">
        <is>
          <t>Incidents, retry/skip/cancel, instance admin ops</t>
        </is>
      </c>
      <c r="D56" s="3" t="inlineStr">
        <is>
          <t>P0</t>
        </is>
      </c>
      <c r="E56" s="3" t="inlineStr">
        <is>
          <t>R2</t>
        </is>
      </c>
      <c r="F56" s="3" t="inlineStr">
        <is>
          <t>Backend</t>
        </is>
      </c>
      <c r="G56" s="3" t="inlineStr">
        <is>
          <t>FR-E13</t>
        </is>
      </c>
      <c r="H56" s="3" t="inlineStr">
        <is>
          <t>One open incident per failure</t>
        </is>
      </c>
      <c r="I56" s="3" t="inlineStr">
        <is>
          <t>M</t>
        </is>
      </c>
      <c r="J56" s="3" t="inlineStr">
        <is>
          <t>BPMS-082</t>
        </is>
      </c>
      <c r="K56" s="3" t="inlineStr">
        <is>
          <t>Done</t>
        </is>
      </c>
      <c r="L56" s="3" t="inlineStr">
        <is>
          <t>Automated tests</t>
        </is>
      </c>
      <c r="M56" s="3" t="inlineStr"/>
      <c r="N56" s="3" t="inlineStr"/>
      <c r="O56" s="3" t="inlineStr"/>
      <c r="P56" s="3" t="inlineStr">
        <is>
          <t>Oversight first slice (0.2): GET /work?state=unassigned|overdue and POST /work/{id}/reassign {membership_id, reason} (work:reassign; SoD re-run, 422 sod_excluded; audited work_item.reassigned; work_assigned/work_reassigned notices); Admin › Work › Requests oversight page and Home Needs attention lines; DB tests + E2E-R2-23, E2E-R2-UI-05, AUD-01 step. Done for 0.2: oversight + incidents with retry/dismiss (E2E-R2-UI-14); skip/cancel/migrate instance ops moved to BPMS-213.</t>
        </is>
      </c>
    </row>
    <row r="57">
      <c r="A57" s="3" t="inlineStr">
        <is>
          <t>BPMS-089</t>
        </is>
      </c>
      <c r="B57" s="3" t="inlineStr">
        <is>
          <t>QA</t>
        </is>
      </c>
      <c r="C57" s="3" t="inlineStr">
        <is>
          <t>Conformance suite + model-based tests + deterministic simulation harness</t>
        </is>
      </c>
      <c r="D57" s="3" t="inlineStr">
        <is>
          <t>P0</t>
        </is>
      </c>
      <c r="E57" s="3" t="inlineStr">
        <is>
          <t>R2</t>
        </is>
      </c>
      <c r="F57" s="3" t="inlineStr">
        <is>
          <t>SDET/Runtime</t>
        </is>
      </c>
      <c r="G57" s="3" t="inlineStr">
        <is>
          <t>15 §4–6</t>
        </is>
      </c>
      <c r="H57" s="3" t="inlineStr">
        <is>
          <t>Nightly chaos green</t>
        </is>
      </c>
      <c r="I57" s="3" t="inlineStr">
        <is>
          <t>L</t>
        </is>
      </c>
      <c r="J57" s="3" t="inlineStr">
        <is>
          <t>BPMS-082</t>
        </is>
      </c>
      <c r="K57" s="3" t="inlineStr">
        <is>
          <t>Not started</t>
        </is>
      </c>
      <c r="L57" s="3" t="inlineStr">
        <is>
          <t>—</t>
        </is>
      </c>
      <c r="M57" s="3" t="inlineStr"/>
      <c r="N57" s="3" t="inlineStr"/>
      <c r="O57" s="3" t="inlineStr"/>
      <c r="P57" s="3" t="inlineStr"/>
    </row>
    <row r="58">
      <c r="A58" s="3" t="inlineStr">
        <is>
          <t>BPMS-100</t>
        </is>
      </c>
      <c r="B58" s="3" t="inlineStr">
        <is>
          <t>DES</t>
        </is>
      </c>
      <c r="C58" s="3" t="inlineStr">
        <is>
          <t>Step builder + React Flow canvas + properties + validate/test-run/review/publish</t>
        </is>
      </c>
      <c r="D58" s="3" t="inlineStr">
        <is>
          <t>P0</t>
        </is>
      </c>
      <c r="E58" s="3" t="inlineStr">
        <is>
          <t>R2</t>
        </is>
      </c>
      <c r="F58" s="3" t="inlineStr">
        <is>
          <t>FE</t>
        </is>
      </c>
      <c r="G58" s="3" t="inlineStr">
        <is>
          <t>FR-E01/E11, ADR-0018</t>
        </is>
      </c>
      <c r="H58" s="3" t="inlineStr">
        <is>
          <t>T10 keyboard-only</t>
        </is>
      </c>
      <c r="I58" s="3" t="inlineStr">
        <is>
          <t>XL</t>
        </is>
      </c>
      <c r="J58" s="3" t="inlineStr">
        <is>
          <t>BPMS-080</t>
        </is>
      </c>
      <c r="K58" s="3" t="inlineStr">
        <is>
          <t>In progress</t>
        </is>
      </c>
      <c r="L58" s="3" t="inlineStr">
        <is>
          <t>Automated tests</t>
        </is>
      </c>
      <c r="M58" s="3" t="inlineStr"/>
      <c r="N58" s="3" t="inlineStr"/>
      <c r="O58" s="3" t="inlineStr"/>
      <c r="P58" s="3" t="inlineStr">
        <is>
          <t>Guided Studio backend (0.3 slice 1): processes API over the library lifecycle — list, templates (blank + the built-ins, their forms/SOP references dropped, labels moved into studio), create, draft save with If-Match (opens a new draft from the published version), validate against the workspace with plain problems tied to steps, publish (submit + publish per review policy, 422 problems when it does not compile). Version content is {ir, studio}; published processes become request types (studio name, prefix, labels; the on/off list is for built-ins) and start on their pinned build. E2E-R3-01..03 + AUD-01. Designer UI in progress.</t>
        </is>
      </c>
    </row>
    <row r="59">
      <c r="A59" s="3" t="inlineStr">
        <is>
          <t>BPMS-101</t>
        </is>
      </c>
      <c r="B59" s="3" t="inlineStr">
        <is>
          <t>FORM</t>
        </is>
      </c>
      <c r="C59" s="3" t="inlineStr">
        <is>
          <t>Form builder + renderer (calc, prefill, repeating, lookups, PDF of submission)</t>
        </is>
      </c>
      <c r="D59" s="3" t="inlineStr">
        <is>
          <t>P0</t>
        </is>
      </c>
      <c r="E59" s="3" t="inlineStr">
        <is>
          <t>R2</t>
        </is>
      </c>
      <c r="F59" s="3" t="inlineStr">
        <is>
          <t>FE</t>
        </is>
      </c>
      <c r="G59" s="3" t="inlineStr">
        <is>
          <t>FR-E03, FX-F01–F04</t>
        </is>
      </c>
      <c r="H59" s="3" t="inlineStr">
        <is>
          <t>Server = client validation</t>
        </is>
      </c>
      <c r="I59" s="3" t="inlineStr">
        <is>
          <t>XL</t>
        </is>
      </c>
      <c r="J59" s="3" t="inlineStr">
        <is>
          <t>BPMS-081</t>
        </is>
      </c>
      <c r="K59" s="3" t="inlineStr">
        <is>
          <t>In progress</t>
        </is>
      </c>
      <c r="L59" s="3" t="inlineStr">
        <is>
          <t>Automated tests</t>
        </is>
      </c>
      <c r="M59" s="3" t="inlineStr"/>
      <c r="N59" s="3" t="inlineStr"/>
      <c r="O59" s="3" t="inlineStr"/>
      <c r="P59" s="3" t="inlineStr">
        <is>
          <t>Server-side forms subset (0.2): start and step forms derived from IR variables (string, text, enum, money, date, number, boolean, principal), required/type/unknown-field checks with 422 errors[], principals shaped from the directory; E2E-R2-03/-19. File fields (`file`, multiple): ids checked for workspace, uploader, clean scan and allowed type (images, PDF, Word, Excel, CSV), stored as file refs (E2E-R2-41). Remaining: form artifacts, builder, renderer, calc, conditional, repeating, prefill, PDF.</t>
        </is>
      </c>
    </row>
    <row r="60">
      <c r="A60" s="3" t="inlineStr">
        <is>
          <t>BPMS-103</t>
        </is>
      </c>
      <c r="B60" s="3" t="inlineStr">
        <is>
          <t>REQ</t>
        </is>
      </c>
      <c r="C60" s="3" t="inlineStr">
        <is>
          <t>Request portal/catalogue, start form, request detail, comments/@mentions/watchers</t>
        </is>
      </c>
      <c r="D60" s="3" t="inlineStr">
        <is>
          <t>P0</t>
        </is>
      </c>
      <c r="E60" s="3" t="inlineStr">
        <is>
          <t>R2</t>
        </is>
      </c>
      <c r="F60" s="3" t="inlineStr">
        <is>
          <t>Fullstack</t>
        </is>
      </c>
      <c r="G60" s="3" t="inlineStr">
        <is>
          <t>FR-R01/R02, FX-R01/R02</t>
        </is>
      </c>
      <c r="H60" s="3" t="inlineStr">
        <is>
          <t>J0/J3 pass</t>
        </is>
      </c>
      <c r="I60" s="3" t="inlineStr">
        <is>
          <t>L</t>
        </is>
      </c>
      <c r="J60" s="3" t="inlineStr">
        <is>
          <t>BPMS-082</t>
        </is>
      </c>
      <c r="K60" s="3" t="inlineStr">
        <is>
          <t>Done</t>
        </is>
      </c>
      <c r="L60" s="3" t="inlineStr">
        <is>
          <t>Automated tests</t>
        </is>
      </c>
      <c r="M60" s="3" t="inlineStr"/>
      <c r="N60" s="3" t="inlineStr"/>
      <c r="O60" s="3" t="inlineStr"/>
      <c r="P60" s="3" t="inlineStr">
        <is>
          <t>Request API (0.2): GET /request-types, POST /requests (Idempotency-Key, display ids LR-2026-000123), GET /requests?scope=mine|all, GET /requests/{id} (steps, timeline, SLA), POST /requests/{id}/cancel; status derived per stimulus; audited request.started/cancelled with the runtime record; DB tests + e2e/packs/r2 (E2E-R2-17, -20, -ISO). Why this route (PR-08): GET /requests/{id} returns why[{at, step, text, facts}] (threshold routes and assignment reasons) and release{version, checksum}; GET /work items carry why_you; request page Why this route disclosure and decision panel Why you (E2E-R2-24, E2E-R2-UI-01).; /requests/new/{type} rendered from the form schema with required checks and 422 field errors; /requests/{id} with steps, answers, timeline and cancel; Home quick action and requests in progress; E2E-R2-UI-01..04). Server API in progress alongside. Workspace request settings: requests.types.enabled / requests.types.audience / requests.currency (curated ISO list, default EUR; money-bearing built-ins compiled per currency, thresholds read in it); GET /request-types lists only enabled types the caller is in the audience of, POST /requests refuses others with 403; Settings › Requests with 'Offer &lt;type&gt;' switches and 'Who can ask' (E2E-R2-30..32, E2E-R2-UI-10). Slice 3: Who approves this — POST /requests/preview (a read, audit-exempt) dry-runs the routing with the real resolver and words later steps from IR conditions, shown live on the form (E2E-R2-40, E2E-R2-UI-20); attachments on every built-in and with decisions (E2E-R2-41/42, E2E-R2-UI-21); requests.types.policy links a published policy/SOP, shown to deciders, the decision records the version shown (E2E-R2-43, E2E-R2-UI-22). Onboarding: built-in hr.onboarding (ON), three parallel tasks (IT, Facilities, the new member's manager) then a personal acknowledgement by the new member, ending completed as Onboarded (migration 0045 adds status completed); open_steps, steps[].parallel, result and the work item statement; the stepper groups parallel steps and My work has an Acknowledge panel; DB crates/requests/tests/onboarding.rs, E2E-R2-UI-15. Done for 0.2 (catalogue, start forms, request page, five built-ins incl. onboarding); comments, @mentions and watchers moved to BPMS-214.</t>
        </is>
      </c>
    </row>
    <row r="61">
      <c r="A61" s="3" t="inlineStr">
        <is>
          <t>BPMS-105</t>
        </is>
      </c>
      <c r="B61" s="3" t="inlineStr">
        <is>
          <t>WORK</t>
        </is>
      </c>
      <c r="C61" s="3" t="inlineStr">
        <is>
          <t>My Work 3-pane inbox (tasks, acks, signatures), bulk with preview</t>
        </is>
      </c>
      <c r="D61" s="3" t="inlineStr">
        <is>
          <t>P0</t>
        </is>
      </c>
      <c r="E61" s="3" t="inlineStr">
        <is>
          <t>R2</t>
        </is>
      </c>
      <c r="F61" s="3" t="inlineStr">
        <is>
          <t>FE</t>
        </is>
      </c>
      <c r="G61" s="3" t="inlineStr">
        <is>
          <t>FR-R03, FR-AK02</t>
        </is>
      </c>
      <c r="H61" s="3" t="inlineStr">
        <is>
          <t>Decision ≤3 interactions</t>
        </is>
      </c>
      <c r="I61" s="3" t="inlineStr">
        <is>
          <t>L</t>
        </is>
      </c>
      <c r="J61" s="3" t="inlineStr">
        <is>
          <t>BPMS-085,046</t>
        </is>
      </c>
      <c r="K61" s="3" t="inlineStr">
        <is>
          <t>Done</t>
        </is>
      </c>
      <c r="L61" s="3" t="inlineStr">
        <is>
          <t>Automated tests</t>
        </is>
      </c>
      <c r="M61" s="3" t="inlineStr"/>
      <c r="N61" s="3" t="inlineStr"/>
      <c r="O61" s="3" t="inlineStr"/>
      <c r="P61" s="3" t="inlineStr">
        <is>
          <t>web: requests catalogue, forms, my/all requests, request page with stepper, My work inbox with decisions (/work list + detail with Open/Done, J/K, decision panel with If-Match and required comment to send back or reject, sidebar count "My work, N open", Home "Needs you" approvals, request notifications); Overdue tag by the server clock; Admin › Requests oversight (Unassigned, Overdue, All open; Reassign… with SoD errors on the field; E2E-R2-UI-05). Bulk with preview and acks/signatures tabs remain. Done for 0.2 (inbox, decisions, acknowledgement panel); bulk decisions with preview and ack/signature tabs moved to BPMS-216.</t>
        </is>
      </c>
    </row>
    <row r="62">
      <c r="A62" s="3" t="inlineStr">
        <is>
          <t>BPMS-106</t>
        </is>
      </c>
      <c r="B62" s="3" t="inlineStr">
        <is>
          <t>TPL</t>
        </is>
      </c>
      <c r="C62" s="3" t="inlineStr">
        <is>
          <t>Template gallery + install wizard + Wave-1 templates (13)</t>
        </is>
      </c>
      <c r="D62" s="3" t="inlineStr">
        <is>
          <t>P0</t>
        </is>
      </c>
      <c r="E62" s="3" t="inlineStr">
        <is>
          <t>R2</t>
        </is>
      </c>
      <c r="F62" s="3" t="inlineStr">
        <is>
          <t>Fullstack/SMEs</t>
        </is>
      </c>
      <c r="G62" s="3" t="inlineStr">
        <is>
          <t>FR-G08, TPL-001..</t>
        </is>
      </c>
      <c r="H62" s="3" t="inlineStr">
        <is>
          <t>All W1 test-run green</t>
        </is>
      </c>
      <c r="I62" s="3" t="inlineStr">
        <is>
          <t>XL</t>
        </is>
      </c>
      <c r="J62" s="3" t="inlineStr">
        <is>
          <t>BPMS-100,101</t>
        </is>
      </c>
      <c r="K62" s="3" t="inlineStr">
        <is>
          <t>Done</t>
        </is>
      </c>
      <c r="L62" s="3" t="inlineStr">
        <is>
          <t>Automated tests</t>
        </is>
      </c>
      <c r="M62" s="3" t="inlineStr"/>
      <c r="N62" s="3" t="inlineStr"/>
      <c r="O62" s="3" t="inlineStr"/>
      <c r="P62" s="3" t="inlineStr">
        <is>
          <t>P0 subset (A-38): built-in template packs (employee handbook, starter policies) installed as drafts with the right kind permissions, Templates gallery page; E2E-R1-18. Built-in request types (0.2, docs/19 §5.6): leave, expense claim, purchase requisition, access request compiled at boot and pinned. Done for P0/0.2 (gallery, starter packs, five built-in request types); install wizard, role mapping and the other Wave-1 templates moved to BPMS-215.</t>
        </is>
      </c>
    </row>
    <row r="63">
      <c r="A63" s="3" t="inlineStr">
        <is>
          <t>BPMS-111</t>
        </is>
      </c>
      <c r="B63" s="3" t="inlineStr">
        <is>
          <t>E2E</t>
        </is>
      </c>
      <c r="C63" s="3" t="inlineStr">
        <is>
          <t>E2E-R2 pack (R2-01…16 + ISO) + Firefox</t>
        </is>
      </c>
      <c r="D63" s="3" t="inlineStr">
        <is>
          <t>P0</t>
        </is>
      </c>
      <c r="E63" s="3" t="inlineStr">
        <is>
          <t>R2</t>
        </is>
      </c>
      <c r="F63" s="3" t="inlineStr">
        <is>
          <t>SDET + feature owners</t>
        </is>
      </c>
      <c r="G63" s="3" t="inlineStr">
        <is>
          <t>23 §5</t>
        </is>
      </c>
      <c r="H63" s="3" t="inlineStr">
        <is>
          <t>Green; race/restart/timer stable</t>
        </is>
      </c>
      <c r="I63" s="3" t="inlineStr">
        <is>
          <t>L</t>
        </is>
      </c>
      <c r="J63" s="3" t="inlineStr">
        <is>
          <t>BPMS-032</t>
        </is>
      </c>
      <c r="K63" s="3" t="inlineStr">
        <is>
          <t>Not started</t>
        </is>
      </c>
      <c r="L63" s="3" t="inlineStr">
        <is>
          <t>—</t>
        </is>
      </c>
      <c r="M63" s="3" t="inlineStr"/>
      <c r="N63" s="3" t="inlineStr"/>
      <c r="O63" s="3" t="inlineStr"/>
      <c r="P63" s="3" t="inlineStr"/>
    </row>
    <row r="64">
      <c r="A64" s="3" t="inlineStr">
        <is>
          <t>BPMS-121</t>
        </is>
      </c>
      <c r="B64" s="3" t="inlineStr">
        <is>
          <t>UX</t>
        </is>
      </c>
      <c r="C64" s="3" t="inlineStr">
        <is>
          <t>Usability round + SUS measurement + fixes</t>
        </is>
      </c>
      <c r="D64" s="3" t="inlineStr">
        <is>
          <t>P0</t>
        </is>
      </c>
      <c r="E64" s="3" t="inlineStr">
        <is>
          <t>R2</t>
        </is>
      </c>
      <c r="F64" s="3" t="inlineStr">
        <is>
          <t>Design</t>
        </is>
      </c>
      <c r="G64" s="3" t="inlineStr">
        <is>
          <t>02 §9</t>
        </is>
      </c>
      <c r="H64" s="3" t="inlineStr">
        <is>
          <t>SUS targets</t>
        </is>
      </c>
      <c r="I64" s="3" t="inlineStr">
        <is>
          <t>M</t>
        </is>
      </c>
      <c r="J64" s="3" t="inlineStr">
        <is>
          <t>BPMS-120</t>
        </is>
      </c>
      <c r="K64" s="3" t="inlineStr">
        <is>
          <t>Not started</t>
        </is>
      </c>
      <c r="L64" s="3" t="inlineStr">
        <is>
          <t>—</t>
        </is>
      </c>
      <c r="M64" s="3" t="inlineStr"/>
      <c r="N64" s="3" t="inlineStr"/>
      <c r="O64" s="3" t="inlineStr"/>
      <c r="P64" s="3" t="inlineStr"/>
    </row>
    <row r="65">
      <c r="A65" s="3" t="inlineStr">
        <is>
          <t>BPMS-207</t>
        </is>
      </c>
      <c r="B65" s="3" t="inlineStr">
        <is>
          <t>UX</t>
        </is>
      </c>
      <c r="C65" s="3" t="inlineStr">
        <is>
          <t>Mobile bottom bar for the app shell</t>
        </is>
      </c>
      <c r="D65" s="3" t="inlineStr">
        <is>
          <t>P1</t>
        </is>
      </c>
      <c r="E65" s="3" t="inlineStr">
        <is>
          <t>R2</t>
        </is>
      </c>
      <c r="F65" s="3" t="inlineStr">
        <is>
          <t>FE</t>
        </is>
      </c>
      <c r="G65" s="3" t="inlineStr">
        <is>
          <t>UX-002</t>
        </is>
      </c>
      <c r="H65" s="3" t="inlineStr">
        <is>
          <t>Thumb reach on phones; axe clean</t>
        </is>
      </c>
      <c r="I65" s="3" t="inlineStr">
        <is>
          <t>S</t>
        </is>
      </c>
      <c r="J65" s="3" t="inlineStr">
        <is>
          <t>BPMS-031</t>
        </is>
      </c>
      <c r="K65" s="3" t="inlineStr">
        <is>
          <t>Done</t>
        </is>
      </c>
      <c r="L65" s="3" t="inlineStr">
        <is>
          <t>Automated tests</t>
        </is>
      </c>
      <c r="M65" s="3" t="inlineStr"/>
      <c r="N65" s="3" t="inlineStr"/>
      <c r="O65" s="3" t="inlineStr"/>
      <c r="P65" s="3" t="inlineStr">
        <is>
          <t>Phone bottom bar (≤ 40rem, from BPMS-031) now leads with the three everyday destinations a person has, in order Home, My work, Requests, then Library and News for people without requests; My work carries its open count (accent badge, named "My work, N open"); Search and More (everything else, minus what is on the bar) follow. E2E-R2-UI-21 (390×844).</t>
        </is>
      </c>
    </row>
    <row r="66">
      <c r="A66" s="3" t="inlineStr">
        <is>
          <t>BPMS-209</t>
        </is>
      </c>
      <c r="B66" s="3" t="inlineStr">
        <is>
          <t>FILE</t>
        </is>
      </c>
      <c r="C66" s="3" t="inlineStr">
        <is>
          <t>S3-compatible storage backend, EXIF stripping at upload, separate preview origin</t>
        </is>
      </c>
      <c r="D66" s="3" t="inlineStr">
        <is>
          <t>P0</t>
        </is>
      </c>
      <c r="E66" s="3" t="inlineStr">
        <is>
          <t>R2</t>
        </is>
      </c>
      <c r="F66" s="3" t="inlineStr">
        <is>
          <t>Backend</t>
        </is>
      </c>
      <c r="G66" s="3" t="inlineStr">
        <is>
          <t>FR-F01, FR-F04, U-08</t>
        </is>
      </c>
      <c r="H66" s="3" t="inlineStr">
        <is>
          <t>Files on S3; no EXIF in stored images</t>
        </is>
      </c>
      <c r="I66" s="3" t="inlineStr">
        <is>
          <t>M</t>
        </is>
      </c>
      <c r="J66" s="3" t="inlineStr">
        <is>
          <t>BPMS-060,061</t>
        </is>
      </c>
      <c r="K66" s="3" t="inlineStr">
        <is>
          <t>Done</t>
        </is>
      </c>
      <c r="L66" s="3" t="inlineStr">
        <is>
          <t>Automated tests</t>
        </is>
      </c>
      <c r="M66" s="3" t="inlineStr"/>
      <c r="N66" s="3" t="inlineStr"/>
      <c r="O66" s="3" t="inlineStr"/>
      <c r="P66" s="3" t="inlineStr">
        <is>
          <t>S3-compatible storage: procera-files Store is local disk or any S3-compatible bucket through object_store 0.14 (Apache-2.0), chosen by PROCERA_STORAGE=s3 with PROCERA_S3_* (bucket, region, endpoint, keys, path style, plain HTTP, prefix); chunks are sealed before they reach the store; a misconfigured store stops the server at boot; Platform health shows where files live. Backend contract unit-tested on local disk and the object_store in-memory backend, and the file E2E packs (uploads, resume, scan/quarantine, previews, request attachments: 17 tests) run green against a live SeaweedFS S3 endpoint on 2026-10-14 (52 sealed chunk objects under the prefix). EXIF stripping at upload: a clean JPEG's metadata (GPS, device, timestamps) is removed when the upload completes (files.exif_strip), the stripped bytes replace the scanned original in storage, size/hash follow, and file.uploaded records metadata_removed (E2E-R1-FILE-04). Separate preview origin moved to BPMS-218.</t>
        </is>
      </c>
    </row>
    <row r="67">
      <c r="A67" s="3" t="inlineStr">
        <is>
          <t>BPMS-212</t>
        </is>
      </c>
      <c r="B67" s="3" t="inlineStr">
        <is>
          <t>WORK</t>
        </is>
      </c>
      <c r="C67" s="3" t="inlineStr">
        <is>
          <t>Delegate a single work item; send back to an earlier step</t>
        </is>
      </c>
      <c r="D67" s="3" t="inlineStr">
        <is>
          <t>P1</t>
        </is>
      </c>
      <c r="E67" s="3" t="inlineStr">
        <is>
          <t>R2</t>
        </is>
      </c>
      <c r="F67" s="3" t="inlineStr">
        <is>
          <t>Backend</t>
        </is>
      </c>
      <c r="G67" s="3" t="inlineStr">
        <is>
          <t>12 §9/§10, FX-E05</t>
        </is>
      </c>
      <c r="H67" s="3" t="inlineStr">
        <is>
          <t>Delegation audited; SoD re-checked</t>
        </is>
      </c>
      <c r="I67" s="3" t="inlineStr">
        <is>
          <t>M</t>
        </is>
      </c>
      <c r="J67" s="3" t="inlineStr">
        <is>
          <t>BPMS-086</t>
        </is>
      </c>
      <c r="K67" s="3" t="inlineStr">
        <is>
          <t>Done</t>
        </is>
      </c>
      <c r="L67" s="3" t="inlineStr">
        <is>
          <t>Automated tests</t>
        </is>
      </c>
      <c r="M67" s="3" t="inlineStr"/>
      <c r="N67" s="3" t="inlineStr"/>
      <c r="O67" s="3" t="inlineStr"/>
      <c r="P67" s="3" t="inlineStr">
        <is>
          <t>Single-step delegation shipped: POST /work/{id}/delegate {membership_id, note?} by someone the step waits on (work:delegate), separation of duties re-checked, the requester never offered, audited work_item.delegated, timeline "delegated by X: note"; Delegate… in the decision panel (My work and the request page). DB test in crates/requests/tests/delegation.rs, E2E-R2-UI-18, AUD-01 step. Send back to an earlier step: later approvals offer send_back (expense/purchase finance → manager, CFO → finance, access security → system owner), comment required, added in code so builds without it stay loadable for requests in flight; work items carry send_back_to and the buttons read "Send back to &lt;step&gt;" / "Send back to requester"; DB test, E2E-R2-UI-19.</t>
        </is>
      </c>
    </row>
    <row r="68">
      <c r="A68" s="3" t="inlineStr">
        <is>
          <t>BPMS-214</t>
        </is>
      </c>
      <c r="B68" s="3" t="inlineStr">
        <is>
          <t>REQ</t>
        </is>
      </c>
      <c r="C68" s="3" t="inlineStr">
        <is>
          <t>Request comments, @mentions and watchers</t>
        </is>
      </c>
      <c r="D68" s="3" t="inlineStr">
        <is>
          <t>P0</t>
        </is>
      </c>
      <c r="E68" s="3" t="inlineStr">
        <is>
          <t>R2</t>
        </is>
      </c>
      <c r="F68" s="3" t="inlineStr">
        <is>
          <t>Fullstack</t>
        </is>
      </c>
      <c r="G68" s="3" t="inlineStr">
        <is>
          <t>FR-R02, FX-R02</t>
        </is>
      </c>
      <c r="H68" s="3" t="inlineStr">
        <is>
          <t>Mentioned people notified; access-checked</t>
        </is>
      </c>
      <c r="I68" s="3" t="inlineStr">
        <is>
          <t>M</t>
        </is>
      </c>
      <c r="J68" s="3" t="inlineStr">
        <is>
          <t>BPMS-103</t>
        </is>
      </c>
      <c r="K68" s="3" t="inlineStr">
        <is>
          <t>Done</t>
        </is>
      </c>
      <c r="L68" s="3" t="inlineStr">
        <is>
          <t>Automated tests</t>
        </is>
      </c>
      <c r="M68" s="3" t="inlineStr"/>
      <c r="N68" s="3" t="inlineStr"/>
      <c r="O68" s="3" t="inlineStr"/>
      <c r="P68" s="3" t="inlineStr">
        <is>
          <t>Request conversation (migration 0047): append-only comments with internal notes hidden from the requester, @mentions of people who can already see the request (per-person access check, 422 cannot_see), watchers; request_comment / request_mention notices in-app + email to the requester, open-step people and watchers (never the author), watchers hear the outcome; audited request.commented / watched / unwatched (AUD-01). Request viewing is team-aware (a Team Manager's department, a manager's reporting line). DB crates/requests/tests/comments.rs, E2E-R2-UI-17. CC and editing comments are not in.</t>
        </is>
      </c>
    </row>
    <row r="69">
      <c r="A69" s="3" t="inlineStr">
        <is>
          <t>BPMS-216</t>
        </is>
      </c>
      <c r="B69" s="3" t="inlineStr">
        <is>
          <t>WORK</t>
        </is>
      </c>
      <c r="C69" s="3" t="inlineStr">
        <is>
          <t>My work bulk decisions with preview; acknowledgement and signature tabs</t>
        </is>
      </c>
      <c r="D69" s="3" t="inlineStr">
        <is>
          <t>P0</t>
        </is>
      </c>
      <c r="E69" s="3" t="inlineStr">
        <is>
          <t>R2</t>
        </is>
      </c>
      <c r="F69" s="3" t="inlineStr">
        <is>
          <t>FE</t>
        </is>
      </c>
      <c r="G69" s="3" t="inlineStr">
        <is>
          <t>FR-R03, FR-AK02</t>
        </is>
      </c>
      <c r="H69" s="3" t="inlineStr">
        <is>
          <t>Bulk decision previews each item; audited per item</t>
        </is>
      </c>
      <c r="I69" s="3" t="inlineStr">
        <is>
          <t>M</t>
        </is>
      </c>
      <c r="J69" s="3" t="inlineStr">
        <is>
          <t>BPMS-105</t>
        </is>
      </c>
      <c r="K69" s="3" t="inlineStr">
        <is>
          <t>Done</t>
        </is>
      </c>
      <c r="L69" s="3" t="inlineStr">
        <is>
          <t>Automated tests</t>
        </is>
      </c>
      <c r="M69" s="3" t="inlineStr"/>
      <c r="N69" s="3" t="inlineStr"/>
      <c r="O69" s="3" t="inlineStr"/>
      <c r="P69" s="3" t="inlineStr">
        <is>
          <t>My work: kind filters with counts (All, Approvals, Tasks, Acknowledgements); "Decide several" selects plain approvals (nothing to fill in), Approve N… / Reject N… preview every request, decide each on its own with its revision as If-Match and report per item (an item decided elsewhere is named, never overwritten); Reject needs a reason. E2E-R2-UI-20. Person pickers stay disabled until people load. A signatures tab arrives with e-signing (0.4).</t>
        </is>
      </c>
    </row>
    <row r="70">
      <c r="A70" s="3" t="inlineStr">
        <is>
          <t>BPMS-066</t>
        </is>
      </c>
      <c r="B70" s="3" t="inlineStr">
        <is>
          <t>AUD</t>
        </is>
      </c>
      <c r="C70" s="3" t="inlineStr">
        <is>
          <t>Retention policy per record class (policy only)</t>
        </is>
      </c>
      <c r="D70" s="3" t="inlineStr">
        <is>
          <t>P0</t>
        </is>
      </c>
      <c r="E70" s="3" t="inlineStr">
        <is>
          <t>R3</t>
        </is>
      </c>
      <c r="F70" s="3" t="inlineStr">
        <is>
          <t>Backend</t>
        </is>
      </c>
      <c r="G70" s="3" t="inlineStr">
        <is>
          <t>PRV-04</t>
        </is>
      </c>
      <c r="H70" s="3" t="inlineStr">
        <is>
          <t>Jobs honour classes</t>
        </is>
      </c>
      <c r="I70" s="3" t="inlineStr">
        <is>
          <t>M</t>
        </is>
      </c>
      <c r="J70" s="3" t="inlineStr">
        <is>
          <t>BPMS-026</t>
        </is>
      </c>
      <c r="K70" s="3" t="inlineStr">
        <is>
          <t>Done</t>
        </is>
      </c>
      <c r="L70" s="3" t="inlineStr">
        <is>
          <t>Automated tests</t>
        </is>
      </c>
      <c r="M70" s="3" t="inlineStr"/>
      <c r="N70" s="3" t="inlineStr"/>
      <c r="O70" s="3" t="inlineStr"/>
      <c r="P70" s="3" t="inlineStr">
        <is>
          <t>Retention classes honoured by jobs (migration 0024, docs/14 §4): draft (deleted after retention.draft.inactive_after without edits; authors notified retention.draft.notice_before ahead; a never-published artifact goes with its only draft; drafts linked to change requests kept), operational (sent/failed emails, read notifications, sent digest items after retention.operational.keep_for), governance_record and audit never deleted by the app (disposition with certificates is P1); hourly in the scheduler, every run recorded and audited (retention.purged); Retention admin page with due drafts and period changes (reason + step-up). E2E-R1-RET-01..02, E2E-R1-UI-26.</t>
        </is>
      </c>
    </row>
    <row r="71">
      <c r="A71" s="3" t="inlineStr">
        <is>
          <t>BPMS-102</t>
        </is>
      </c>
      <c r="B71" s="3" t="inlineStr">
        <is>
          <t>DATA</t>
        </is>
      </c>
      <c r="C71" s="3" t="inlineStr">
        <is>
          <t>Master-data tables (CSV import, lookups, versioned)</t>
        </is>
      </c>
      <c r="D71" s="3" t="inlineStr">
        <is>
          <t>P0</t>
        </is>
      </c>
      <c r="E71" s="3" t="inlineStr">
        <is>
          <t>R3</t>
        </is>
      </c>
      <c r="F71" s="3" t="inlineStr">
        <is>
          <t>Fullstack</t>
        </is>
      </c>
      <c r="G71" s="3" t="inlineStr">
        <is>
          <t>FX-E02</t>
        </is>
      </c>
      <c r="H71" s="3" t="inlineStr">
        <is>
          <t>Cascading dropdowns</t>
        </is>
      </c>
      <c r="I71" s="3" t="inlineStr">
        <is>
          <t>M</t>
        </is>
      </c>
      <c r="J71" s="3" t="inlineStr">
        <is>
          <t>BPMS-101</t>
        </is>
      </c>
      <c r="K71" s="3" t="inlineStr">
        <is>
          <t>Not started</t>
        </is>
      </c>
      <c r="L71" s="3" t="inlineStr">
        <is>
          <t>—</t>
        </is>
      </c>
      <c r="M71" s="3" t="inlineStr"/>
      <c r="N71" s="3" t="inlineStr"/>
      <c r="O71" s="3" t="inlineStr"/>
      <c r="P71" s="3" t="inlineStr"/>
    </row>
    <row r="72">
      <c r="A72" s="3" t="inlineStr">
        <is>
          <t>BPMS-104</t>
        </is>
      </c>
      <c r="B72" s="3" t="inlineStr">
        <is>
          <t>REQ</t>
        </is>
      </c>
      <c r="C72" s="3" t="inlineStr">
        <is>
          <t>Recall/withdraw, edit-after-submit, request-on-behalf, numbering</t>
        </is>
      </c>
      <c r="D72" s="3" t="inlineStr">
        <is>
          <t>P0</t>
        </is>
      </c>
      <c r="E72" s="3" t="inlineStr">
        <is>
          <t>R3</t>
        </is>
      </c>
      <c r="F72" s="3" t="inlineStr">
        <is>
          <t>Backend</t>
        </is>
      </c>
      <c r="G72" s="3" t="inlineStr">
        <is>
          <t>FX-E03/E04/E06</t>
        </is>
      </c>
      <c r="H72" s="3" t="inlineStr">
        <is>
          <t>Audited</t>
        </is>
      </c>
      <c r="I72" s="3" t="inlineStr">
        <is>
          <t>M</t>
        </is>
      </c>
      <c r="J72" s="3" t="inlineStr">
        <is>
          <t>BPMS-103</t>
        </is>
      </c>
      <c r="K72" s="3" t="inlineStr">
        <is>
          <t>Not started</t>
        </is>
      </c>
      <c r="L72" s="3" t="inlineStr">
        <is>
          <t>—</t>
        </is>
      </c>
      <c r="M72" s="3" t="inlineStr"/>
      <c r="N72" s="3" t="inlineStr"/>
      <c r="O72" s="3" t="inlineStr"/>
      <c r="P72" s="3" t="inlineStr"/>
    </row>
    <row r="73">
      <c r="A73" s="3" t="inlineStr">
        <is>
          <t>BPMS-107</t>
        </is>
      </c>
      <c r="B73" s="3" t="inlineStr">
        <is>
          <t>SIGN</t>
        </is>
      </c>
      <c r="C73" s="3" t="inlineStr">
        <is>
          <t>E-sign v1: PDF, recipients/roles, routing, bulk, fields, consent step, ceremony, certificate</t>
        </is>
      </c>
      <c r="D73" s="3" t="inlineStr">
        <is>
          <t>P0</t>
        </is>
      </c>
      <c r="E73" s="3" t="inlineStr">
        <is>
          <t>R3</t>
        </is>
      </c>
      <c r="F73" s="3" t="inlineStr">
        <is>
          <t>Fullstack</t>
        </is>
      </c>
      <c r="G73" s="3" t="inlineStr">
        <is>
          <t>FR-DS01–07, FX-S01/02/05/06/07</t>
        </is>
      </c>
      <c r="H73" s="3" t="inlineStr">
        <is>
          <t>J13 passes</t>
        </is>
      </c>
      <c r="I73" s="3" t="inlineStr">
        <is>
          <t>XL</t>
        </is>
      </c>
      <c r="J73" s="3" t="inlineStr">
        <is>
          <t>BPMS-046,060</t>
        </is>
      </c>
      <c r="K73" s="3" t="inlineStr">
        <is>
          <t>Not started</t>
        </is>
      </c>
      <c r="L73" s="3" t="inlineStr">
        <is>
          <t>—</t>
        </is>
      </c>
      <c r="M73" s="3" t="inlineStr"/>
      <c r="N73" s="3" t="inlineStr"/>
      <c r="O73" s="3" t="inlineStr"/>
      <c r="P73" s="3" t="inlineStr"/>
    </row>
    <row r="74">
      <c r="A74" s="3" t="inlineStr">
        <is>
          <t>BPMS-108</t>
        </is>
      </c>
      <c r="B74" s="3" t="inlineStr">
        <is>
          <t>ADMIN</t>
        </is>
      </c>
      <c r="C74" s="3" t="inlineStr">
        <is>
          <t>All requests / all work / workload / process health / ops monitor</t>
        </is>
      </c>
      <c r="D74" s="3" t="inlineStr">
        <is>
          <t>P0</t>
        </is>
      </c>
      <c r="E74" s="3" t="inlineStr">
        <is>
          <t>R3</t>
        </is>
      </c>
      <c r="F74" s="3" t="inlineStr">
        <is>
          <t>FE</t>
        </is>
      </c>
      <c r="G74" s="3" t="inlineStr">
        <is>
          <t>FR-A02–A05</t>
        </is>
      </c>
      <c r="H74" s="3" t="inlineStr">
        <is>
          <t>Bulk audited</t>
        </is>
      </c>
      <c r="I74" s="3" t="inlineStr">
        <is>
          <t>L</t>
        </is>
      </c>
      <c r="J74" s="3" t="inlineStr">
        <is>
          <t>BPMS-063,085</t>
        </is>
      </c>
      <c r="K74" s="3" t="inlineStr">
        <is>
          <t>Done</t>
        </is>
      </c>
      <c r="L74" s="3" t="inlineStr">
        <is>
          <t>Automated tests</t>
        </is>
      </c>
      <c r="M74" s="3" t="inlineStr"/>
      <c r="N74" s="3" t="inlineStr"/>
      <c r="O74" s="3" t="inlineStr"/>
      <c r="P74" s="3" t="inlineStr">
        <is>
          <t>Workload (FR-A03) shipped early with 0.2: GET /work/workload?scope=team|all (per person open / overdue / due in 7 days / oldest, away + delegate, coverage gaps) and /work/workload/{member} (their open steps); Team page for managers (team = reporting line, derived from the directory, no grant needed) and Requests oversight › Workload for admins; bulk reassign with a preview, refusals per step; a manager reassigns within their team without work:reassign (docs/12 §6). E2E-R2-UI-13. Ops monitor (PR-09): Admin › Operations lists technical incidents (dead-lettered jobs, failed reminder/escalation timers) apart from business exceptions; retry/dismiss with a reason (request:retry), audited incident.retried/incident.dismissed; E2E-R2-UI-14. Done for 0.2: workload (team + all) and Operations (E2E-R2-UI-13/14/16); process health, email bounces and timer lateness moved to BPMS-217.</t>
        </is>
      </c>
    </row>
    <row r="75">
      <c r="A75" s="3" t="inlineStr">
        <is>
          <t>BPMS-109</t>
        </is>
      </c>
      <c r="B75" s="3" t="inlineStr">
        <is>
          <t>UX</t>
        </is>
      </c>
      <c r="C75" s="3" t="inlineStr">
        <is>
          <t>PWA (360px) for My Work, requests, acks, signing</t>
        </is>
      </c>
      <c r="D75" s="3" t="inlineStr">
        <is>
          <t>P0</t>
        </is>
      </c>
      <c r="E75" s="3" t="inlineStr">
        <is>
          <t>R3</t>
        </is>
      </c>
      <c r="F75" s="3" t="inlineStr">
        <is>
          <t>FE</t>
        </is>
      </c>
      <c r="G75" s="3" t="inlineStr">
        <is>
          <t>FR-P07</t>
        </is>
      </c>
      <c r="H75" s="3" t="inlineStr">
        <is>
          <t>Lighthouse PWA pass</t>
        </is>
      </c>
      <c r="I75" s="3" t="inlineStr">
        <is>
          <t>M</t>
        </is>
      </c>
      <c r="J75" s="3" t="inlineStr">
        <is>
          <t>BPMS-105</t>
        </is>
      </c>
      <c r="K75" s="3" t="inlineStr">
        <is>
          <t>Not started</t>
        </is>
      </c>
      <c r="L75" s="3" t="inlineStr">
        <is>
          <t>—</t>
        </is>
      </c>
      <c r="M75" s="3" t="inlineStr"/>
      <c r="N75" s="3" t="inlineStr"/>
      <c r="O75" s="3" t="inlineStr"/>
      <c r="P75" s="3" t="inlineStr"/>
    </row>
    <row r="76">
      <c r="A76" s="3" t="inlineStr">
        <is>
          <t>BPMS-110</t>
        </is>
      </c>
      <c r="B76" s="3" t="inlineStr">
        <is>
          <t>LIB</t>
        </is>
      </c>
      <c r="C76" s="3" t="inlineStr">
        <is>
          <t>BPMN 2.0 XML import (subset) + compatibility report</t>
        </is>
      </c>
      <c r="D76" s="3" t="inlineStr">
        <is>
          <t>P0</t>
        </is>
      </c>
      <c r="E76" s="3" t="inlineStr">
        <is>
          <t>R3</t>
        </is>
      </c>
      <c r="F76" s="3" t="inlineStr">
        <is>
          <t>Runtime</t>
        </is>
      </c>
      <c r="G76" s="3" t="inlineStr">
        <is>
          <t>FR-G09, SP-06</t>
        </is>
      </c>
      <c r="H76" s="3" t="inlineStr">
        <is>
          <t>Unsupported listed</t>
        </is>
      </c>
      <c r="I76" s="3" t="inlineStr">
        <is>
          <t>M</t>
        </is>
      </c>
      <c r="J76" s="3" t="inlineStr">
        <is>
          <t>BPMS-080</t>
        </is>
      </c>
      <c r="K76" s="3" t="inlineStr">
        <is>
          <t>Not started</t>
        </is>
      </c>
      <c r="L76" s="3" t="inlineStr">
        <is>
          <t>—</t>
        </is>
      </c>
      <c r="M76" s="3" t="inlineStr"/>
      <c r="N76" s="3" t="inlineStr"/>
      <c r="O76" s="3" t="inlineStr"/>
      <c r="P76" s="3" t="inlineStr"/>
    </row>
    <row r="77">
      <c r="A77" s="3" t="inlineStr">
        <is>
          <t>BPMS-112</t>
        </is>
      </c>
      <c r="B77" s="3" t="inlineStr">
        <is>
          <t>E2E</t>
        </is>
      </c>
      <c r="C77" s="3" t="inlineStr">
        <is>
          <t>E2E-R3 pack (R3-01…12 + MOB + ISO) + WebKit</t>
        </is>
      </c>
      <c r="D77" s="3" t="inlineStr">
        <is>
          <t>P0</t>
        </is>
      </c>
      <c r="E77" s="3" t="inlineStr">
        <is>
          <t>R3</t>
        </is>
      </c>
      <c r="F77" s="3" t="inlineStr">
        <is>
          <t>SDET + feature owners</t>
        </is>
      </c>
      <c r="G77" s="3" t="inlineStr">
        <is>
          <t>23 §5</t>
        </is>
      </c>
      <c r="H77" s="3" t="inlineStr">
        <is>
          <t>Green; bulk-sign 1000</t>
        </is>
      </c>
      <c r="I77" s="3" t="inlineStr">
        <is>
          <t>L</t>
        </is>
      </c>
      <c r="J77" s="3" t="inlineStr">
        <is>
          <t>BPMS-111</t>
        </is>
      </c>
      <c r="K77" s="3" t="inlineStr">
        <is>
          <t>Not started</t>
        </is>
      </c>
      <c r="L77" s="3" t="inlineStr">
        <is>
          <t>—</t>
        </is>
      </c>
      <c r="M77" s="3" t="inlineStr"/>
      <c r="N77" s="3" t="inlineStr"/>
      <c r="O77" s="3" t="inlineStr"/>
      <c r="P77" s="3" t="inlineStr"/>
    </row>
    <row r="78">
      <c r="A78" s="3" t="inlineStr">
        <is>
          <t>BPMS-208</t>
        </is>
      </c>
      <c r="B78" s="3" t="inlineStr">
        <is>
          <t>LIB</t>
        </is>
      </c>
      <c r="C78" s="3" t="inlineStr">
        <is>
          <t>Server-side tagged PDF, DOCX import (with pictures), variables blocks</t>
        </is>
      </c>
      <c r="D78" s="3" t="inlineStr">
        <is>
          <t>P1</t>
        </is>
      </c>
      <c r="E78" s="3" t="inlineStr">
        <is>
          <t>R3</t>
        </is>
      </c>
      <c r="F78" s="3" t="inlineStr">
        <is>
          <t>Fullstack</t>
        </is>
      </c>
      <c r="G78" s="3" t="inlineStr">
        <is>
          <t>FR-G03, ADR-0013</t>
        </is>
      </c>
      <c r="H78" s="3" t="inlineStr">
        <is>
          <t>Tagged PDF passes PAC-style checks</t>
        </is>
      </c>
      <c r="I78" s="3" t="inlineStr">
        <is>
          <t>L</t>
        </is>
      </c>
      <c r="J78" s="3" t="inlineStr">
        <is>
          <t>BPMS-042</t>
        </is>
      </c>
      <c r="K78" s="3" t="inlineStr">
        <is>
          <t>Not started</t>
        </is>
      </c>
      <c r="L78" s="3" t="inlineStr">
        <is>
          <t>—</t>
        </is>
      </c>
      <c r="M78" s="3" t="inlineStr"/>
      <c r="N78" s="3" t="inlineStr"/>
      <c r="O78" s="3" t="inlineStr"/>
      <c r="P78" s="3" t="inlineStr"/>
    </row>
    <row r="79">
      <c r="A79" s="3" t="inlineStr">
        <is>
          <t>BPMS-210</t>
        </is>
      </c>
      <c r="B79" s="3" t="inlineStr">
        <is>
          <t>RT</t>
        </is>
      </c>
      <c r="C79" s="3" t="inlineStr">
        <is>
          <t>Encrypted restricted instance data, at-risk SLA state, IANA time zones</t>
        </is>
      </c>
      <c r="D79" s="3" t="inlineStr">
        <is>
          <t>P1</t>
        </is>
      </c>
      <c r="E79" s="3" t="inlineStr">
        <is>
          <t>R3</t>
        </is>
      </c>
      <c r="F79" s="3" t="inlineStr">
        <is>
          <t>Runtime</t>
        </is>
      </c>
      <c r="G79" s="3" t="inlineStr">
        <is>
          <t>04 §4.4, 06 §4</t>
        </is>
      </c>
      <c r="H79" s="3" t="inlineStr">
        <is>
          <t>Restricted values sealed at rest; at-risk shown</t>
        </is>
      </c>
      <c r="I79" s="3" t="inlineStr">
        <is>
          <t>M</t>
        </is>
      </c>
      <c r="J79" s="3" t="inlineStr">
        <is>
          <t>BPMS-083</t>
        </is>
      </c>
      <c r="K79" s="3" t="inlineStr">
        <is>
          <t>Not started</t>
        </is>
      </c>
      <c r="L79" s="3" t="inlineStr">
        <is>
          <t>—</t>
        </is>
      </c>
      <c r="M79" s="3" t="inlineStr"/>
      <c r="N79" s="3" t="inlineStr"/>
      <c r="O79" s="3" t="inlineStr"/>
      <c r="P79" s="3" t="inlineStr"/>
    </row>
    <row r="80">
      <c r="A80" s="3" t="inlineStr">
        <is>
          <t>BPMS-211</t>
        </is>
      </c>
      <c r="B80" s="3" t="inlineStr">
        <is>
          <t>WORK</t>
        </is>
      </c>
      <c r="C80" s="3" t="inlineStr">
        <is>
          <t>Claim/unclaim, round-robin and least-loaded assignment, quorum, DoA matrix</t>
        </is>
      </c>
      <c r="D80" s="3" t="inlineStr">
        <is>
          <t>P0</t>
        </is>
      </c>
      <c r="E80" s="3" t="inlineStr">
        <is>
          <t>R3</t>
        </is>
      </c>
      <c r="F80" s="3" t="inlineStr">
        <is>
          <t>Backend</t>
        </is>
      </c>
      <c r="G80" s="3" t="inlineStr">
        <is>
          <t>FR-E04/E05, FX-D01/D02</t>
        </is>
      </c>
      <c r="H80" s="3" t="inlineStr">
        <is>
          <t>T01 strategies pass</t>
        </is>
      </c>
      <c r="I80" s="3" t="inlineStr">
        <is>
          <t>L</t>
        </is>
      </c>
      <c r="J80" s="3" t="inlineStr">
        <is>
          <t>BPMS-085</t>
        </is>
      </c>
      <c r="K80" s="3" t="inlineStr">
        <is>
          <t>Not started</t>
        </is>
      </c>
      <c r="L80" s="3" t="inlineStr">
        <is>
          <t>—</t>
        </is>
      </c>
      <c r="M80" s="3" t="inlineStr"/>
      <c r="N80" s="3" t="inlineStr"/>
      <c r="O80" s="3" t="inlineStr"/>
      <c r="P80" s="3" t="inlineStr"/>
    </row>
    <row r="81">
      <c r="A81" s="3" t="inlineStr">
        <is>
          <t>BPMS-213</t>
        </is>
      </c>
      <c r="B81" s="3" t="inlineStr">
        <is>
          <t>RT</t>
        </is>
      </c>
      <c r="C81" s="3" t="inlineStr">
        <is>
          <t>Instance admin ops: skip a step, cancel/terminate an instance, migrate version</t>
        </is>
      </c>
      <c r="D81" s="3" t="inlineStr">
        <is>
          <t>P0</t>
        </is>
      </c>
      <c r="E81" s="3" t="inlineStr">
        <is>
          <t>R3</t>
        </is>
      </c>
      <c r="F81" s="3" t="inlineStr">
        <is>
          <t>Backend</t>
        </is>
      </c>
      <c r="G81" s="3" t="inlineStr">
        <is>
          <t>FR-E13</t>
        </is>
      </c>
      <c r="H81" s="3" t="inlineStr">
        <is>
          <t>Audited with a reason; step-up</t>
        </is>
      </c>
      <c r="I81" s="3" t="inlineStr">
        <is>
          <t>M</t>
        </is>
      </c>
      <c r="J81" s="3" t="inlineStr">
        <is>
          <t>BPMS-088</t>
        </is>
      </c>
      <c r="K81" s="3" t="inlineStr">
        <is>
          <t>Not started</t>
        </is>
      </c>
      <c r="L81" s="3" t="inlineStr">
        <is>
          <t>—</t>
        </is>
      </c>
      <c r="M81" s="3" t="inlineStr"/>
      <c r="N81" s="3" t="inlineStr"/>
      <c r="O81" s="3" t="inlineStr"/>
      <c r="P81" s="3" t="inlineStr"/>
    </row>
    <row r="82">
      <c r="A82" s="3" t="inlineStr">
        <is>
          <t>BPMS-215</t>
        </is>
      </c>
      <c r="B82" s="3" t="inlineStr">
        <is>
          <t>TPL</t>
        </is>
      </c>
      <c r="C82" s="3" t="inlineStr">
        <is>
          <t>Template install wizard, role mapping at install, remaining Wave-1 process templates</t>
        </is>
      </c>
      <c r="D82" s="3" t="inlineStr">
        <is>
          <t>P1</t>
        </is>
      </c>
      <c r="E82" s="3" t="inlineStr">
        <is>
          <t>R3</t>
        </is>
      </c>
      <c r="F82" s="3" t="inlineStr">
        <is>
          <t>Fullstack/SMEs</t>
        </is>
      </c>
      <c r="G82" s="3" t="inlineStr">
        <is>
          <t>FR-G08, TPL-001..</t>
        </is>
      </c>
      <c r="H82" s="3" t="inlineStr">
        <is>
          <t>All W1 test-run green</t>
        </is>
      </c>
      <c r="I82" s="3" t="inlineStr">
        <is>
          <t>XL</t>
        </is>
      </c>
      <c r="J82" s="3" t="inlineStr">
        <is>
          <t>BPMS-106</t>
        </is>
      </c>
      <c r="K82" s="3" t="inlineStr">
        <is>
          <t>Not started</t>
        </is>
      </c>
      <c r="L82" s="3" t="inlineStr">
        <is>
          <t>—</t>
        </is>
      </c>
      <c r="M82" s="3" t="inlineStr"/>
      <c r="N82" s="3" t="inlineStr"/>
      <c r="O82" s="3" t="inlineStr"/>
      <c r="P82" s="3" t="inlineStr"/>
    </row>
    <row r="83">
      <c r="A83" s="3" t="inlineStr">
        <is>
          <t>BPMS-217</t>
        </is>
      </c>
      <c r="B83" s="3" t="inlineStr">
        <is>
          <t>ADMIN</t>
        </is>
      </c>
      <c r="C83" s="3" t="inlineStr">
        <is>
          <t>Process health, email bounces and timer lateness in Operations</t>
        </is>
      </c>
      <c r="D83" s="3" t="inlineStr">
        <is>
          <t>P1</t>
        </is>
      </c>
      <c r="E83" s="3" t="inlineStr">
        <is>
          <t>R3</t>
        </is>
      </c>
      <c r="F83" s="3" t="inlineStr">
        <is>
          <t>Fullstack</t>
        </is>
      </c>
      <c r="G83" s="3" t="inlineStr">
        <is>
          <t>FR-A04/A05, docs/05 §3.18</t>
        </is>
      </c>
      <c r="H83" s="3" t="inlineStr">
        <is>
          <t>Per-process cycle time and SLA %; bounce list</t>
        </is>
      </c>
      <c r="I83" s="3" t="inlineStr">
        <is>
          <t>M</t>
        </is>
      </c>
      <c r="J83" s="3" t="inlineStr">
        <is>
          <t>BPMS-108</t>
        </is>
      </c>
      <c r="K83" s="3" t="inlineStr">
        <is>
          <t>Not started</t>
        </is>
      </c>
      <c r="L83" s="3" t="inlineStr">
        <is>
          <t>—</t>
        </is>
      </c>
      <c r="M83" s="3" t="inlineStr"/>
      <c r="N83" s="3" t="inlineStr"/>
      <c r="O83" s="3" t="inlineStr"/>
      <c r="P83" s="3" t="inlineStr"/>
    </row>
    <row r="84">
      <c r="A84" s="3" t="inlineStr">
        <is>
          <t>BPMS-218</t>
        </is>
      </c>
      <c r="B84" s="3" t="inlineStr">
        <is>
          <t>FILE</t>
        </is>
      </c>
      <c r="C84" s="3" t="inlineStr">
        <is>
          <t>Separate preview origin for file previews (own domain/host, cookie-less)</t>
        </is>
      </c>
      <c r="D84" s="3" t="inlineStr">
        <is>
          <t>P1</t>
        </is>
      </c>
      <c r="E84" s="3" t="inlineStr">
        <is>
          <t>R3</t>
        </is>
      </c>
      <c r="F84" s="3" t="inlineStr">
        <is>
          <t>Platform/Sec</t>
        </is>
      </c>
      <c r="G84" s="3" t="inlineStr">
        <is>
          <t>FR-F04, U-08</t>
        </is>
      </c>
      <c r="H84" s="3" t="inlineStr">
        <is>
          <t>Preview host shares no cookies with the app</t>
        </is>
      </c>
      <c r="I84" s="3" t="inlineStr">
        <is>
          <t>S</t>
        </is>
      </c>
      <c r="J84" s="3" t="inlineStr">
        <is>
          <t>BPMS-209</t>
        </is>
      </c>
      <c r="K84" s="3" t="inlineStr">
        <is>
          <t>Not started</t>
        </is>
      </c>
      <c r="L84" s="3" t="inlineStr">
        <is>
          <t>—</t>
        </is>
      </c>
      <c r="M84" s="3" t="inlineStr"/>
      <c r="N84" s="3" t="inlineStr"/>
      <c r="O84" s="3" t="inlineStr"/>
      <c r="P84" s="3" t="inlineStr"/>
    </row>
    <row r="85">
      <c r="A85" s="3" t="inlineStr">
        <is>
          <t>BPMS-140</t>
        </is>
      </c>
      <c r="B85" s="3" t="inlineStr">
        <is>
          <t>IAM</t>
        </is>
      </c>
      <c r="C85" s="3" t="inlineStr">
        <is>
          <t>OIDC SSO, SAML-broker, SSO enforcement, JIT</t>
        </is>
      </c>
      <c r="D85" s="3" t="inlineStr">
        <is>
          <t>P1</t>
        </is>
      </c>
      <c r="E85" s="3" t="inlineStr">
        <is>
          <t>R4</t>
        </is>
      </c>
      <c r="F85" s="3" t="inlineStr">
        <is>
          <t>Platform</t>
        </is>
      </c>
      <c r="G85" s="3" t="inlineStr">
        <is>
          <t>FR-P02, INT-001/002</t>
        </is>
      </c>
      <c r="H85" s="3" t="inlineStr">
        <is>
          <t>Deprovision test</t>
        </is>
      </c>
      <c r="I85" s="3" t="inlineStr">
        <is>
          <t>L</t>
        </is>
      </c>
      <c r="J85" s="3" t="inlineStr"/>
      <c r="K85" s="3" t="inlineStr">
        <is>
          <t>Not started</t>
        </is>
      </c>
      <c r="L85" s="3" t="inlineStr">
        <is>
          <t>—</t>
        </is>
      </c>
      <c r="M85" s="3" t="inlineStr"/>
      <c r="N85" s="3" t="inlineStr"/>
      <c r="O85" s="3" t="inlineStr"/>
      <c r="P85" s="3" t="inlineStr"/>
    </row>
    <row r="86">
      <c r="A86" s="3" t="inlineStr">
        <is>
          <t>BPMS-141</t>
        </is>
      </c>
      <c r="B86" s="3" t="inlineStr">
        <is>
          <t>IAM</t>
        </is>
      </c>
      <c r="C86" s="3" t="inlineStr">
        <is>
          <t>SCIM 2.0 server</t>
        </is>
      </c>
      <c r="D86" s="3" t="inlineStr">
        <is>
          <t>P1</t>
        </is>
      </c>
      <c r="E86" s="3" t="inlineStr">
        <is>
          <t>R4</t>
        </is>
      </c>
      <c r="F86" s="3" t="inlineStr">
        <is>
          <t>Platform</t>
        </is>
      </c>
      <c r="G86" s="3" t="inlineStr">
        <is>
          <t>INT-003</t>
        </is>
      </c>
      <c r="H86" s="3" t="inlineStr">
        <is>
          <t>&lt;5 min deprovision</t>
        </is>
      </c>
      <c r="I86" s="3" t="inlineStr">
        <is>
          <t>M</t>
        </is>
      </c>
      <c r="J86" s="3" t="inlineStr">
        <is>
          <t>BPMS-140</t>
        </is>
      </c>
      <c r="K86" s="3" t="inlineStr">
        <is>
          <t>Not started</t>
        </is>
      </c>
      <c r="L86" s="3" t="inlineStr">
        <is>
          <t>—</t>
        </is>
      </c>
      <c r="M86" s="3" t="inlineStr"/>
      <c r="N86" s="3" t="inlineStr"/>
      <c r="O86" s="3" t="inlineStr"/>
      <c r="P86" s="3" t="inlineStr"/>
    </row>
    <row r="87">
      <c r="A87" s="3" t="inlineStr">
        <is>
          <t>BPMS-142</t>
        </is>
      </c>
      <c r="B87" s="3" t="inlineStr">
        <is>
          <t>IAM</t>
        </is>
      </c>
      <c r="C87" s="3" t="inlineStr">
        <is>
          <t>Scoped/delegated admins; IP allowlists</t>
        </is>
      </c>
      <c r="D87" s="3" t="inlineStr">
        <is>
          <t>P1</t>
        </is>
      </c>
      <c r="E87" s="3" t="inlineStr">
        <is>
          <t>R4</t>
        </is>
      </c>
      <c r="F87" s="3" t="inlineStr">
        <is>
          <t>Platform</t>
        </is>
      </c>
      <c r="G87" s="3" t="inlineStr">
        <is>
          <t>CFG-018, FR-W06</t>
        </is>
      </c>
      <c r="H87" s="3" t="inlineStr">
        <is>
          <t>No escalation</t>
        </is>
      </c>
      <c r="I87" s="3" t="inlineStr">
        <is>
          <t>M</t>
        </is>
      </c>
      <c r="J87" s="3" t="inlineStr">
        <is>
          <t>BPMS-024</t>
        </is>
      </c>
      <c r="K87" s="3" t="inlineStr">
        <is>
          <t>Not started</t>
        </is>
      </c>
      <c r="L87" s="3" t="inlineStr">
        <is>
          <t>—</t>
        </is>
      </c>
      <c r="M87" s="3" t="inlineStr"/>
      <c r="N87" s="3" t="inlineStr"/>
      <c r="O87" s="3" t="inlineStr"/>
      <c r="P87" s="3" t="inlineStr"/>
    </row>
    <row r="88">
      <c r="A88" s="3" t="inlineStr">
        <is>
          <t>BPMS-143</t>
        </is>
      </c>
      <c r="B88" s="3" t="inlineStr">
        <is>
          <t>INT</t>
        </is>
      </c>
      <c r="C88" s="3" t="inlineStr">
        <is>
          <t>Webhooks (Standard Webhooks), HTTP connector via egress proxy, inbound events</t>
        </is>
      </c>
      <c r="D88" s="3" t="inlineStr">
        <is>
          <t>P1</t>
        </is>
      </c>
      <c r="E88" s="3" t="inlineStr">
        <is>
          <t>R4</t>
        </is>
      </c>
      <c r="F88" s="3" t="inlineStr">
        <is>
          <t>Backend</t>
        </is>
      </c>
      <c r="G88" s="3" t="inlineStr">
        <is>
          <t>INT-*, WH/SSRF</t>
        </is>
      </c>
      <c r="H88" s="3" t="inlineStr">
        <is>
          <t>SEC SSRF tests</t>
        </is>
      </c>
      <c r="I88" s="3" t="inlineStr">
        <is>
          <t>L</t>
        </is>
      </c>
      <c r="J88" s="3" t="inlineStr">
        <is>
          <t>BPMS-029</t>
        </is>
      </c>
      <c r="K88" s="3" t="inlineStr">
        <is>
          <t>Not started</t>
        </is>
      </c>
      <c r="L88" s="3" t="inlineStr">
        <is>
          <t>—</t>
        </is>
      </c>
      <c r="M88" s="3" t="inlineStr"/>
      <c r="N88" s="3" t="inlineStr"/>
      <c r="O88" s="3" t="inlineStr"/>
      <c r="P88" s="3" t="inlineStr"/>
    </row>
    <row r="89">
      <c r="A89" s="3" t="inlineStr">
        <is>
          <t>BPMS-144</t>
        </is>
      </c>
      <c r="B89" s="3" t="inlineStr">
        <is>
          <t>INT</t>
        </is>
      </c>
      <c r="C89" s="3" t="inlineStr">
        <is>
          <t>Public API hardening, OpenAPI, CLI, TS/Python SDKs</t>
        </is>
      </c>
      <c r="D89" s="3" t="inlineStr">
        <is>
          <t>P1</t>
        </is>
      </c>
      <c r="E89" s="3" t="inlineStr">
        <is>
          <t>R4</t>
        </is>
      </c>
      <c r="F89" s="3" t="inlineStr">
        <is>
          <t>Backend</t>
        </is>
      </c>
      <c r="G89" s="3" t="inlineStr">
        <is>
          <t>08</t>
        </is>
      </c>
      <c r="H89" s="3" t="inlineStr">
        <is>
          <t>Spec published</t>
        </is>
      </c>
      <c r="I89" s="3" t="inlineStr">
        <is>
          <t>M</t>
        </is>
      </c>
      <c r="J89" s="3" t="inlineStr"/>
      <c r="K89" s="3" t="inlineStr">
        <is>
          <t>Not started</t>
        </is>
      </c>
      <c r="L89" s="3" t="inlineStr">
        <is>
          <t>—</t>
        </is>
      </c>
      <c r="M89" s="3" t="inlineStr"/>
      <c r="N89" s="3" t="inlineStr"/>
      <c r="O89" s="3" t="inlineStr"/>
      <c r="P89" s="3" t="inlineStr"/>
    </row>
    <row r="90">
      <c r="A90" s="3" t="inlineStr">
        <is>
          <t>BPMS-145</t>
        </is>
      </c>
      <c r="B90" s="3" t="inlineStr">
        <is>
          <t>NOTIF</t>
        </is>
      </c>
      <c r="C90" s="3" t="inlineStr">
        <is>
          <t>Email-actionable approvals, reply-by-email, web push</t>
        </is>
      </c>
      <c r="D90" s="3" t="inlineStr">
        <is>
          <t>P1</t>
        </is>
      </c>
      <c r="E90" s="3" t="inlineStr">
        <is>
          <t>R4</t>
        </is>
      </c>
      <c r="F90" s="3" t="inlineStr">
        <is>
          <t>Fullstack</t>
        </is>
      </c>
      <c r="G90" s="3" t="inlineStr">
        <is>
          <t>FR-N03/N05, FX-R03</t>
        </is>
      </c>
      <c r="H90" s="3" t="inlineStr">
        <is>
          <t>Replay rejected</t>
        </is>
      </c>
      <c r="I90" s="3" t="inlineStr">
        <is>
          <t>M</t>
        </is>
      </c>
      <c r="J90" s="3" t="inlineStr">
        <is>
          <t>BPMS-048</t>
        </is>
      </c>
      <c r="K90" s="3" t="inlineStr">
        <is>
          <t>Not started</t>
        </is>
      </c>
      <c r="L90" s="3" t="inlineStr">
        <is>
          <t>—</t>
        </is>
      </c>
      <c r="M90" s="3" t="inlineStr"/>
      <c r="N90" s="3" t="inlineStr"/>
      <c r="O90" s="3" t="inlineStr"/>
      <c r="P90" s="3" t="inlineStr"/>
    </row>
    <row r="91">
      <c r="A91" s="3" t="inlineStr">
        <is>
          <t>BPMS-146</t>
        </is>
      </c>
      <c r="B91" s="3" t="inlineStr">
        <is>
          <t>IAM</t>
        </is>
      </c>
      <c r="C91" s="3" t="inlineStr">
        <is>
          <t>Guests + external signers (magic link + OTP); self-serve signing links</t>
        </is>
      </c>
      <c r="D91" s="3" t="inlineStr">
        <is>
          <t>P1</t>
        </is>
      </c>
      <c r="E91" s="3" t="inlineStr">
        <is>
          <t>R4</t>
        </is>
      </c>
      <c r="F91" s="3" t="inlineStr">
        <is>
          <t>Fullstack</t>
        </is>
      </c>
      <c r="G91" s="3" t="inlineStr">
        <is>
          <t>FR-P08, FX-S10</t>
        </is>
      </c>
      <c r="H91" s="3" t="inlineStr">
        <is>
          <t>Single-use</t>
        </is>
      </c>
      <c r="I91" s="3" t="inlineStr">
        <is>
          <t>M</t>
        </is>
      </c>
      <c r="J91" s="3" t="inlineStr">
        <is>
          <t>BPMS-107</t>
        </is>
      </c>
      <c r="K91" s="3" t="inlineStr">
        <is>
          <t>Not started</t>
        </is>
      </c>
      <c r="L91" s="3" t="inlineStr">
        <is>
          <t>—</t>
        </is>
      </c>
      <c r="M91" s="3" t="inlineStr"/>
      <c r="N91" s="3" t="inlineStr"/>
      <c r="O91" s="3" t="inlineStr"/>
      <c r="P91" s="3" t="inlineStr"/>
    </row>
    <row r="92">
      <c r="A92" s="3" t="inlineStr">
        <is>
          <t>BPMS-147</t>
        </is>
      </c>
      <c r="B92" s="3" t="inlineStr">
        <is>
          <t>SIGN</t>
        </is>
      </c>
      <c r="C92" s="3" t="inlineStr">
        <is>
          <t>E-sign v2: DOCX + merge, anchor tags, conditional fields, delegate, correction, embedded</t>
        </is>
      </c>
      <c r="D92" s="3" t="inlineStr">
        <is>
          <t>P1</t>
        </is>
      </c>
      <c r="E92" s="3" t="inlineStr">
        <is>
          <t>R4</t>
        </is>
      </c>
      <c r="F92" s="3" t="inlineStr">
        <is>
          <t>Fullstack</t>
        </is>
      </c>
      <c r="G92" s="3" t="inlineStr">
        <is>
          <t>FX-S03/04/08/09/12</t>
        </is>
      </c>
      <c r="H92" s="3" t="inlineStr">
        <is>
          <t>Audited corrections</t>
        </is>
      </c>
      <c r="I92" s="3" t="inlineStr">
        <is>
          <t>L</t>
        </is>
      </c>
      <c r="J92" s="3" t="inlineStr">
        <is>
          <t>BPMS-107</t>
        </is>
      </c>
      <c r="K92" s="3" t="inlineStr">
        <is>
          <t>Not started</t>
        </is>
      </c>
      <c r="L92" s="3" t="inlineStr">
        <is>
          <t>—</t>
        </is>
      </c>
      <c r="M92" s="3" t="inlineStr"/>
      <c r="N92" s="3" t="inlineStr"/>
      <c r="O92" s="3" t="inlineStr"/>
      <c r="P92" s="3" t="inlineStr"/>
    </row>
    <row r="93">
      <c r="A93" s="3" t="inlineStr">
        <is>
          <t>BPMS-148</t>
        </is>
      </c>
      <c r="B93" s="3" t="inlineStr">
        <is>
          <t>FORM</t>
        </is>
      </c>
      <c r="C93" s="3" t="inlineStr">
        <is>
          <t>Public forms (privacy CAPTCHA), save &amp; resume, partials, form signature field</t>
        </is>
      </c>
      <c r="D93" s="3" t="inlineStr">
        <is>
          <t>P1</t>
        </is>
      </c>
      <c r="E93" s="3" t="inlineStr">
        <is>
          <t>R4</t>
        </is>
      </c>
      <c r="F93" s="3" t="inlineStr">
        <is>
          <t>Fullstack</t>
        </is>
      </c>
      <c r="G93" s="3" t="inlineStr">
        <is>
          <t>FX-F05–F07</t>
        </is>
      </c>
      <c r="H93" s="3" t="inlineStr">
        <is>
          <t>Rate-limited</t>
        </is>
      </c>
      <c r="I93" s="3" t="inlineStr">
        <is>
          <t>M</t>
        </is>
      </c>
      <c r="J93" s="3" t="inlineStr">
        <is>
          <t>BPMS-101</t>
        </is>
      </c>
      <c r="K93" s="3" t="inlineStr">
        <is>
          <t>Not started</t>
        </is>
      </c>
      <c r="L93" s="3" t="inlineStr">
        <is>
          <t>—</t>
        </is>
      </c>
      <c r="M93" s="3" t="inlineStr"/>
      <c r="N93" s="3" t="inlineStr"/>
      <c r="O93" s="3" t="inlineStr"/>
      <c r="P93" s="3" t="inlineStr"/>
    </row>
    <row r="94">
      <c r="A94" s="3" t="inlineStr">
        <is>
          <t>BPMS-149</t>
        </is>
      </c>
      <c r="B94" s="3" t="inlineStr">
        <is>
          <t>EXEC</t>
        </is>
      </c>
      <c r="C94" s="3" t="inlineStr">
        <is>
          <t>Subprocesses, reusable sub-flows, duplicate detection, bulk import, env promotion</t>
        </is>
      </c>
      <c r="D94" s="3" t="inlineStr">
        <is>
          <t>P1</t>
        </is>
      </c>
      <c r="E94" s="3" t="inlineStr">
        <is>
          <t>R4</t>
        </is>
      </c>
      <c r="F94" s="3" t="inlineStr">
        <is>
          <t>Runtime</t>
        </is>
      </c>
      <c r="G94" s="3" t="inlineStr">
        <is>
          <t>FR-E08, FX-E07–E09, FR-P09</t>
        </is>
      </c>
      <c r="H94" s="3" t="inlineStr">
        <is>
          <t>—</t>
        </is>
      </c>
      <c r="I94" s="3" t="inlineStr">
        <is>
          <t>L</t>
        </is>
      </c>
      <c r="J94" s="3" t="inlineStr">
        <is>
          <t>BPMS-082</t>
        </is>
      </c>
      <c r="K94" s="3" t="inlineStr">
        <is>
          <t>Not started</t>
        </is>
      </c>
      <c r="L94" s="3" t="inlineStr">
        <is>
          <t>—</t>
        </is>
      </c>
      <c r="M94" s="3" t="inlineStr"/>
      <c r="N94" s="3" t="inlineStr"/>
      <c r="O94" s="3" t="inlineStr"/>
      <c r="P94" s="3" t="inlineStr"/>
    </row>
    <row r="95">
      <c r="A95" s="3" t="inlineStr">
        <is>
          <t>BPMS-150</t>
        </is>
      </c>
      <c r="B95" s="3" t="inlineStr">
        <is>
          <t>LIB</t>
        </is>
      </c>
      <c r="C95" s="3" t="inlineStr">
        <is>
          <t>Auto-generated process documentation; policy exceptions; policy templates</t>
        </is>
      </c>
      <c r="D95" s="3" t="inlineStr">
        <is>
          <t>P1</t>
        </is>
      </c>
      <c r="E95" s="3" t="inlineStr">
        <is>
          <t>R4</t>
        </is>
      </c>
      <c r="F95" s="3" t="inlineStr">
        <is>
          <t>Fullstack</t>
        </is>
      </c>
      <c r="G95" s="3" t="inlineStr">
        <is>
          <t>FX-G04, FR-PL04, FX-G03</t>
        </is>
      </c>
      <c r="H95" s="3" t="inlineStr">
        <is>
          <t>—</t>
        </is>
      </c>
      <c r="I95" s="3" t="inlineStr">
        <is>
          <t>M</t>
        </is>
      </c>
      <c r="J95" s="3" t="inlineStr">
        <is>
          <t>BPMS-042</t>
        </is>
      </c>
      <c r="K95" s="3" t="inlineStr">
        <is>
          <t>Not started</t>
        </is>
      </c>
      <c r="L95" s="3" t="inlineStr">
        <is>
          <t>—</t>
        </is>
      </c>
      <c r="M95" s="3" t="inlineStr"/>
      <c r="N95" s="3" t="inlineStr"/>
      <c r="O95" s="3" t="inlineStr"/>
      <c r="P95" s="3" t="inlineStr"/>
    </row>
    <row r="96">
      <c r="A96" s="3" t="inlineStr">
        <is>
          <t>BPMS-151</t>
        </is>
      </c>
      <c r="B96" s="3" t="inlineStr">
        <is>
          <t>COMMS</t>
        </is>
      </c>
      <c r="C96" s="3" t="inlineStr">
        <is>
          <t>Emergency alerts, content validation period, moderation, quiz</t>
        </is>
      </c>
      <c r="D96" s="3" t="inlineStr">
        <is>
          <t>P1</t>
        </is>
      </c>
      <c r="E96" s="3" t="inlineStr">
        <is>
          <t>R4</t>
        </is>
      </c>
      <c r="F96" s="3" t="inlineStr">
        <is>
          <t>Fullstack</t>
        </is>
      </c>
      <c r="G96" s="3" t="inlineStr">
        <is>
          <t>FX-C02–C04</t>
        </is>
      </c>
      <c r="H96" s="3" t="inlineStr">
        <is>
          <t>—</t>
        </is>
      </c>
      <c r="I96" s="3" t="inlineStr">
        <is>
          <t>M</t>
        </is>
      </c>
      <c r="J96" s="3" t="inlineStr">
        <is>
          <t>BPMS-047</t>
        </is>
      </c>
      <c r="K96" s="3" t="inlineStr">
        <is>
          <t>Not started</t>
        </is>
      </c>
      <c r="L96" s="3" t="inlineStr">
        <is>
          <t>—</t>
        </is>
      </c>
      <c r="M96" s="3" t="inlineStr"/>
      <c r="N96" s="3" t="inlineStr"/>
      <c r="O96" s="3" t="inlineStr"/>
      <c r="P96" s="3" t="inlineStr"/>
    </row>
    <row r="97">
      <c r="A97" s="3" t="inlineStr">
        <is>
          <t>BPMS-152</t>
        </is>
      </c>
      <c r="B97" s="3" t="inlineStr">
        <is>
          <t>E2E</t>
        </is>
      </c>
      <c r="C97" s="3" t="inlineStr">
        <is>
          <t>E2E-R4 pack incl. Keycloak, SCIM, webhook receiver</t>
        </is>
      </c>
      <c r="D97" s="3" t="inlineStr">
        <is>
          <t>P1</t>
        </is>
      </c>
      <c r="E97" s="3" t="inlineStr">
        <is>
          <t>R4</t>
        </is>
      </c>
      <c r="F97" s="3" t="inlineStr">
        <is>
          <t>SDET + feature owners</t>
        </is>
      </c>
      <c r="G97" s="3" t="inlineStr">
        <is>
          <t>23 §5</t>
        </is>
      </c>
      <c r="H97" s="3" t="inlineStr">
        <is>
          <t>Green</t>
        </is>
      </c>
      <c r="I97" s="3" t="inlineStr">
        <is>
          <t>L</t>
        </is>
      </c>
      <c r="J97" s="3" t="inlineStr">
        <is>
          <t>BPMS-112</t>
        </is>
      </c>
      <c r="K97" s="3" t="inlineStr">
        <is>
          <t>Not started</t>
        </is>
      </c>
      <c r="L97" s="3" t="inlineStr">
        <is>
          <t>—</t>
        </is>
      </c>
      <c r="M97" s="3" t="inlineStr"/>
      <c r="N97" s="3" t="inlineStr"/>
      <c r="O97" s="3" t="inlineStr"/>
      <c r="P97" s="3" t="inlineStr"/>
    </row>
    <row r="98">
      <c r="A98" s="3" t="inlineStr">
        <is>
          <t>BPMS-206</t>
        </is>
      </c>
      <c r="B98" s="3" t="inlineStr">
        <is>
          <t>ENG</t>
        </is>
      </c>
      <c r="C98" s="3" t="inlineStr">
        <is>
          <t>KMS / OpenBao root key adapters and yearly automatic root rotation</t>
        </is>
      </c>
      <c r="D98" s="3" t="inlineStr">
        <is>
          <t>P1</t>
        </is>
      </c>
      <c r="E98" s="3" t="inlineStr">
        <is>
          <t>R4</t>
        </is>
      </c>
      <c r="F98" s="3" t="inlineStr">
        <is>
          <t>Platform/Sec</t>
        </is>
      </c>
      <c r="G98" s="3" t="inlineStr">
        <is>
          <t>04 §8, 06 §4</t>
        </is>
      </c>
      <c r="H98" s="3" t="inlineStr">
        <is>
          <t>Root sealed by an external KMS; rotation scheduled</t>
        </is>
      </c>
      <c r="I98" s="3" t="inlineStr">
        <is>
          <t>M</t>
        </is>
      </c>
      <c r="J98" s="3" t="inlineStr">
        <is>
          <t>BPMS-030</t>
        </is>
      </c>
      <c r="K98" s="3" t="inlineStr">
        <is>
          <t>Not started</t>
        </is>
      </c>
      <c r="L98" s="3" t="inlineStr">
        <is>
          <t>—</t>
        </is>
      </c>
      <c r="M98" s="3" t="inlineStr"/>
      <c r="N98" s="3" t="inlineStr"/>
      <c r="O98" s="3" t="inlineStr"/>
      <c r="P98" s="3" t="inlineStr"/>
    </row>
    <row r="99">
      <c r="A99" s="3" t="inlineStr">
        <is>
          <t>BPMS-160</t>
        </is>
      </c>
      <c r="B99" s="3" t="inlineStr">
        <is>
          <t>CASE</t>
        </is>
      </c>
      <c r="C99" s="3" t="inlineStr">
        <is>
          <t>Case types, queues, macros, SLAs, link/merge, restricted cases</t>
        </is>
      </c>
      <c r="D99" s="3" t="inlineStr">
        <is>
          <t>P1</t>
        </is>
      </c>
      <c r="E99" s="3" t="inlineStr">
        <is>
          <t>R5</t>
        </is>
      </c>
      <c r="F99" s="3" t="inlineStr">
        <is>
          <t>Fullstack</t>
        </is>
      </c>
      <c r="G99" s="3" t="inlineStr">
        <is>
          <t>FR-C01, FX-K01–K06</t>
        </is>
      </c>
      <c r="H99" s="3" t="inlineStr">
        <is>
          <t>J4 passes</t>
        </is>
      </c>
      <c r="I99" s="3" t="inlineStr">
        <is>
          <t>XL</t>
        </is>
      </c>
      <c r="J99" s="3" t="inlineStr">
        <is>
          <t>BPMS-082</t>
        </is>
      </c>
      <c r="K99" s="3" t="inlineStr">
        <is>
          <t>Not started</t>
        </is>
      </c>
      <c r="L99" s="3" t="inlineStr">
        <is>
          <t>—</t>
        </is>
      </c>
      <c r="M99" s="3" t="inlineStr"/>
      <c r="N99" s="3" t="inlineStr"/>
      <c r="O99" s="3" t="inlineStr"/>
      <c r="P99" s="3" t="inlineStr"/>
    </row>
    <row r="100">
      <c r="A100" s="3" t="inlineStr">
        <is>
          <t>BPMS-161</t>
        </is>
      </c>
      <c r="B100" s="3" t="inlineStr">
        <is>
          <t>AUD</t>
        </is>
      </c>
      <c r="C100" s="3" t="inlineStr">
        <is>
          <t>Investigations: pins, legal hold, signed export, conflict-of-interest</t>
        </is>
      </c>
      <c r="D100" s="3" t="inlineStr">
        <is>
          <t>P1</t>
        </is>
      </c>
      <c r="E100" s="3" t="inlineStr">
        <is>
          <t>R5</t>
        </is>
      </c>
      <c r="F100" s="3" t="inlineStr">
        <is>
          <t>Fullstack</t>
        </is>
      </c>
      <c r="G100" s="3" t="inlineStr">
        <is>
          <t>FR-T05/T06, FX-K08, FX-L01</t>
        </is>
      </c>
      <c r="H100" s="3" t="inlineStr">
        <is>
          <t>J10 passes</t>
        </is>
      </c>
      <c r="I100" s="3" t="inlineStr">
        <is>
          <t>L</t>
        </is>
      </c>
      <c r="J100" s="3" t="inlineStr">
        <is>
          <t>BPMS-064,160</t>
        </is>
      </c>
      <c r="K100" s="3" t="inlineStr">
        <is>
          <t>Not started</t>
        </is>
      </c>
      <c r="L100" s="3" t="inlineStr">
        <is>
          <t>—</t>
        </is>
      </c>
      <c r="M100" s="3" t="inlineStr"/>
      <c r="N100" s="3" t="inlineStr"/>
      <c r="O100" s="3" t="inlineStr"/>
      <c r="P100" s="3" t="inlineStr"/>
    </row>
    <row r="101">
      <c r="A101" s="3" t="inlineStr">
        <is>
          <t>BPMS-162</t>
        </is>
      </c>
      <c r="B101" s="3" t="inlineStr">
        <is>
          <t>AUD</t>
        </is>
      </c>
      <c r="C101" s="3" t="inlineStr">
        <is>
          <t>Checkpoints, RFC 3161, WORM export, procera-verify CLI</t>
        </is>
      </c>
      <c r="D101" s="3" t="inlineStr">
        <is>
          <t>P1</t>
        </is>
      </c>
      <c r="E101" s="3" t="inlineStr">
        <is>
          <t>R5</t>
        </is>
      </c>
      <c r="F101" s="3" t="inlineStr">
        <is>
          <t>Platform</t>
        </is>
      </c>
      <c r="G101" s="3" t="inlineStr">
        <is>
          <t>AUD-02–05</t>
        </is>
      </c>
      <c r="H101" s="3" t="inlineStr">
        <is>
          <t>Verifier detects tamper</t>
        </is>
      </c>
      <c r="I101" s="3" t="inlineStr">
        <is>
          <t>M</t>
        </is>
      </c>
      <c r="J101" s="3" t="inlineStr">
        <is>
          <t>BPMS-026</t>
        </is>
      </c>
      <c r="K101" s="3" t="inlineStr">
        <is>
          <t>Not started</t>
        </is>
      </c>
      <c r="L101" s="3" t="inlineStr">
        <is>
          <t>—</t>
        </is>
      </c>
      <c r="M101" s="3" t="inlineStr"/>
      <c r="N101" s="3" t="inlineStr"/>
      <c r="O101" s="3" t="inlineStr"/>
      <c r="P101" s="3" t="inlineStr"/>
    </row>
    <row r="102">
      <c r="A102" s="3" t="inlineStr">
        <is>
          <t>BPMS-163</t>
        </is>
      </c>
      <c r="B102" s="3" t="inlineStr">
        <is>
          <t>GOV</t>
        </is>
      </c>
      <c r="C102" s="3" t="inlineStr">
        <is>
          <t>Attestation campaigns, control mapping, access reviews</t>
        </is>
      </c>
      <c r="D102" s="3" t="inlineStr">
        <is>
          <t>P1</t>
        </is>
      </c>
      <c r="E102" s="3" t="inlineStr">
        <is>
          <t>R5</t>
        </is>
      </c>
      <c r="F102" s="3" t="inlineStr">
        <is>
          <t>Fullstack</t>
        </is>
      </c>
      <c r="G102" s="3" t="inlineStr">
        <is>
          <t>FR-G06, FR-W11</t>
        </is>
      </c>
      <c r="H102" s="3" t="inlineStr">
        <is>
          <t>Evidence export</t>
        </is>
      </c>
      <c r="I102" s="3" t="inlineStr">
        <is>
          <t>M</t>
        </is>
      </c>
      <c r="J102" s="3" t="inlineStr">
        <is>
          <t>BPMS-046</t>
        </is>
      </c>
      <c r="K102" s="3" t="inlineStr">
        <is>
          <t>Not started</t>
        </is>
      </c>
      <c r="L102" s="3" t="inlineStr">
        <is>
          <t>—</t>
        </is>
      </c>
      <c r="M102" s="3" t="inlineStr"/>
      <c r="N102" s="3" t="inlineStr"/>
      <c r="O102" s="3" t="inlineStr"/>
      <c r="P102" s="3" t="inlineStr"/>
    </row>
    <row r="103">
      <c r="A103" s="3" t="inlineStr">
        <is>
          <t>BPMS-164</t>
        </is>
      </c>
      <c r="B103" s="3" t="inlineStr">
        <is>
          <t>GOV</t>
        </is>
      </c>
      <c r="C103" s="3" t="inlineStr">
        <is>
          <t>Retention disposition + certificates, DSAR template, legal hold engine</t>
        </is>
      </c>
      <c r="D103" s="3" t="inlineStr">
        <is>
          <t>P1</t>
        </is>
      </c>
      <c r="E103" s="3" t="inlineStr">
        <is>
          <t>R5</t>
        </is>
      </c>
      <c r="F103" s="3" t="inlineStr">
        <is>
          <t>Backend</t>
        </is>
      </c>
      <c r="G103" s="3" t="inlineStr">
        <is>
          <t>PRV-01/03/04</t>
        </is>
      </c>
      <c r="H103" s="3" t="inlineStr">
        <is>
          <t>Holds block deletion</t>
        </is>
      </c>
      <c r="I103" s="3" t="inlineStr">
        <is>
          <t>M</t>
        </is>
      </c>
      <c r="J103" s="3" t="inlineStr">
        <is>
          <t>BPMS-066</t>
        </is>
      </c>
      <c r="K103" s="3" t="inlineStr">
        <is>
          <t>Not started</t>
        </is>
      </c>
      <c r="L103" s="3" t="inlineStr">
        <is>
          <t>—</t>
        </is>
      </c>
      <c r="M103" s="3" t="inlineStr"/>
      <c r="N103" s="3" t="inlineStr"/>
      <c r="O103" s="3" t="inlineStr"/>
      <c r="P103" s="3" t="inlineStr"/>
    </row>
    <row r="104">
      <c r="A104" s="3" t="inlineStr">
        <is>
          <t>BPMS-165</t>
        </is>
      </c>
      <c r="B104" s="3" t="inlineStr">
        <is>
          <t>SIGN</t>
        </is>
      </c>
      <c r="C104" s="3" t="inlineStr">
        <is>
          <t>Part 11 mode, PAdES-LTV, TSA; in-person/kiosk signing</t>
        </is>
      </c>
      <c r="D104" s="3" t="inlineStr">
        <is>
          <t>P1</t>
        </is>
      </c>
      <c r="E104" s="3" t="inlineStr">
        <is>
          <t>R5</t>
        </is>
      </c>
      <c r="F104" s="3" t="inlineStr">
        <is>
          <t>Fullstack</t>
        </is>
      </c>
      <c r="G104" s="3" t="inlineStr">
        <is>
          <t>ESIG-01–05, FR-DS05, FX-S11</t>
        </is>
      </c>
      <c r="H104" s="3" t="inlineStr">
        <is>
          <t>Verification passes</t>
        </is>
      </c>
      <c r="I104" s="3" t="inlineStr">
        <is>
          <t>L</t>
        </is>
      </c>
      <c r="J104" s="3" t="inlineStr">
        <is>
          <t>BPMS-107</t>
        </is>
      </c>
      <c r="K104" s="3" t="inlineStr">
        <is>
          <t>Not started</t>
        </is>
      </c>
      <c r="L104" s="3" t="inlineStr">
        <is>
          <t>—</t>
        </is>
      </c>
      <c r="M104" s="3" t="inlineStr"/>
      <c r="N104" s="3" t="inlineStr"/>
      <c r="O104" s="3" t="inlineStr"/>
      <c r="P104" s="3" t="inlineStr"/>
    </row>
    <row r="105">
      <c r="A105" s="3" t="inlineStr">
        <is>
          <t>BPMS-166</t>
        </is>
      </c>
      <c r="B105" s="3" t="inlineStr">
        <is>
          <t>ADMIN</t>
        </is>
      </c>
      <c r="C105" s="3" t="inlineStr">
        <is>
          <t>Alert centre, custom dashboards, report builder, scheduled reports, KPI goals, usage analytics, CSAT</t>
        </is>
      </c>
      <c r="D105" s="3" t="inlineStr">
        <is>
          <t>P1</t>
        </is>
      </c>
      <c r="E105" s="3" t="inlineStr">
        <is>
          <t>R5</t>
        </is>
      </c>
      <c r="F105" s="3" t="inlineStr">
        <is>
          <t>Fullstack</t>
        </is>
      </c>
      <c r="G105" s="3" t="inlineStr">
        <is>
          <t>FR-A07–A09, FX-A01–A04, FX-R04</t>
        </is>
      </c>
      <c r="H105" s="3" t="inlineStr">
        <is>
          <t>RLS at run time</t>
        </is>
      </c>
      <c r="I105" s="3" t="inlineStr">
        <is>
          <t>XL</t>
        </is>
      </c>
      <c r="J105" s="3" t="inlineStr">
        <is>
          <t>BPMS-063</t>
        </is>
      </c>
      <c r="K105" s="3" t="inlineStr">
        <is>
          <t>Not started</t>
        </is>
      </c>
      <c r="L105" s="3" t="inlineStr">
        <is>
          <t>—</t>
        </is>
      </c>
      <c r="M105" s="3" t="inlineStr"/>
      <c r="N105" s="3" t="inlineStr"/>
      <c r="O105" s="3" t="inlineStr"/>
      <c r="P105" s="3" t="inlineStr"/>
    </row>
    <row r="106">
      <c r="A106" s="3" t="inlineStr">
        <is>
          <t>BPMS-167</t>
        </is>
      </c>
      <c r="B106" s="3" t="inlineStr">
        <is>
          <t>IAM</t>
        </is>
      </c>
      <c r="C106" s="3" t="inlineStr">
        <is>
          <t>Separation mode; break-glass</t>
        </is>
      </c>
      <c r="D106" s="3" t="inlineStr">
        <is>
          <t>P1</t>
        </is>
      </c>
      <c r="E106" s="3" t="inlineStr">
        <is>
          <t>R5</t>
        </is>
      </c>
      <c r="F106" s="3" t="inlineStr">
        <is>
          <t>Platform</t>
        </is>
      </c>
      <c r="G106" s="3" t="inlineStr">
        <is>
          <t>12 §6.1, FR-S07</t>
        </is>
      </c>
      <c r="H106" s="3" t="inlineStr">
        <is>
          <t>Visible to workspace</t>
        </is>
      </c>
      <c r="I106" s="3" t="inlineStr">
        <is>
          <t>M</t>
        </is>
      </c>
      <c r="J106" s="3" t="inlineStr">
        <is>
          <t>BPMS-024</t>
        </is>
      </c>
      <c r="K106" s="3" t="inlineStr">
        <is>
          <t>Not started</t>
        </is>
      </c>
      <c r="L106" s="3" t="inlineStr">
        <is>
          <t>—</t>
        </is>
      </c>
      <c r="M106" s="3" t="inlineStr"/>
      <c r="N106" s="3" t="inlineStr"/>
      <c r="O106" s="3" t="inlineStr"/>
      <c r="P106" s="3" t="inlineStr"/>
    </row>
    <row r="107">
      <c r="A107" s="3" t="inlineStr">
        <is>
          <t>BPMS-168</t>
        </is>
      </c>
      <c r="B107" s="3" t="inlineStr">
        <is>
          <t>LIB</t>
        </is>
      </c>
      <c r="C107" s="3" t="inlineStr">
        <is>
          <t>Role-based onboarding/training paths</t>
        </is>
      </c>
      <c r="D107" s="3" t="inlineStr">
        <is>
          <t>P1</t>
        </is>
      </c>
      <c r="E107" s="3" t="inlineStr">
        <is>
          <t>R5</t>
        </is>
      </c>
      <c r="F107" s="3" t="inlineStr">
        <is>
          <t>Fullstack</t>
        </is>
      </c>
      <c r="G107" s="3" t="inlineStr">
        <is>
          <t>FX-G07</t>
        </is>
      </c>
      <c r="H107" s="3" t="inlineStr">
        <is>
          <t>Completion reports</t>
        </is>
      </c>
      <c r="I107" s="3" t="inlineStr">
        <is>
          <t>M</t>
        </is>
      </c>
      <c r="J107" s="3" t="inlineStr">
        <is>
          <t>BPMS-046</t>
        </is>
      </c>
      <c r="K107" s="3" t="inlineStr">
        <is>
          <t>Not started</t>
        </is>
      </c>
      <c r="L107" s="3" t="inlineStr">
        <is>
          <t>—</t>
        </is>
      </c>
      <c r="M107" s="3" t="inlineStr"/>
      <c r="N107" s="3" t="inlineStr"/>
      <c r="O107" s="3" t="inlineStr"/>
      <c r="P107" s="3" t="inlineStr"/>
    </row>
    <row r="108">
      <c r="A108" s="3" t="inlineStr">
        <is>
          <t>BPMS-169</t>
        </is>
      </c>
      <c r="B108" s="3" t="inlineStr">
        <is>
          <t>E2E</t>
        </is>
      </c>
      <c r="C108" s="3" t="inlineStr">
        <is>
          <t>E2E-R5 pack incl. investigations, Part 11, break-glass</t>
        </is>
      </c>
      <c r="D108" s="3" t="inlineStr">
        <is>
          <t>P1</t>
        </is>
      </c>
      <c r="E108" s="3" t="inlineStr">
        <is>
          <t>R5</t>
        </is>
      </c>
      <c r="F108" s="3" t="inlineStr">
        <is>
          <t>SDET + feature owners</t>
        </is>
      </c>
      <c r="G108" s="3" t="inlineStr">
        <is>
          <t>23 §5</t>
        </is>
      </c>
      <c r="H108" s="3" t="inlineStr">
        <is>
          <t>Green</t>
        </is>
      </c>
      <c r="I108" s="3" t="inlineStr">
        <is>
          <t>L</t>
        </is>
      </c>
      <c r="J108" s="3" t="inlineStr">
        <is>
          <t>BPMS-152</t>
        </is>
      </c>
      <c r="K108" s="3" t="inlineStr">
        <is>
          <t>Not started</t>
        </is>
      </c>
      <c r="L108" s="3" t="inlineStr">
        <is>
          <t>—</t>
        </is>
      </c>
      <c r="M108" s="3" t="inlineStr"/>
      <c r="N108" s="3" t="inlineStr"/>
      <c r="O108" s="3" t="inlineStr"/>
      <c r="P108" s="3" t="inlineStr"/>
    </row>
    <row r="109">
      <c r="A109" s="3" t="inlineStr">
        <is>
          <t>BPMS-186</t>
        </is>
      </c>
      <c r="B109" s="3" t="inlineStr">
        <is>
          <t>AI</t>
        </is>
      </c>
      <c r="C109" s="3" t="inlineStr">
        <is>
          <t>AI assistance P1 set (drafting, summaries, translate, Q&amp;A) behind kill switch</t>
        </is>
      </c>
      <c r="D109" s="3" t="inlineStr">
        <is>
          <t>P1</t>
        </is>
      </c>
      <c r="E109" s="3" t="inlineStr">
        <is>
          <t>R5</t>
        </is>
      </c>
      <c r="F109" s="3" t="inlineStr">
        <is>
          <t>Fullstack</t>
        </is>
      </c>
      <c r="G109" s="3" t="inlineStr">
        <is>
          <t>16, ADR-0006</t>
        </is>
      </c>
      <c r="H109" s="3" t="inlineStr">
        <is>
          <t>Eval thresholds</t>
        </is>
      </c>
      <c r="I109" s="3" t="inlineStr">
        <is>
          <t>L</t>
        </is>
      </c>
      <c r="J109" s="3" t="inlineStr"/>
      <c r="K109" s="3" t="inlineStr">
        <is>
          <t>Not started</t>
        </is>
      </c>
      <c r="L109" s="3" t="inlineStr">
        <is>
          <t>—</t>
        </is>
      </c>
      <c r="M109" s="3" t="inlineStr"/>
      <c r="N109" s="3" t="inlineStr"/>
      <c r="O109" s="3" t="inlineStr"/>
      <c r="P109" s="3" t="inlineStr"/>
    </row>
    <row r="110">
      <c r="A110" s="3" t="inlineStr">
        <is>
          <t>BPMS-180</t>
        </is>
      </c>
      <c r="B110" s="3" t="inlineStr">
        <is>
          <t>OPS</t>
        </is>
      </c>
      <c r="C110" s="3" t="inlineStr">
        <is>
          <t>Load test at reference load; HA failover; RPO/RTO restore drill</t>
        </is>
      </c>
      <c r="D110" s="3" t="inlineStr">
        <is>
          <t>P1</t>
        </is>
      </c>
      <c r="E110" s="3" t="inlineStr">
        <is>
          <t>GA</t>
        </is>
      </c>
      <c r="F110" s="3" t="inlineStr">
        <is>
          <t>SRE</t>
        </is>
      </c>
      <c r="G110" s="3" t="inlineStr">
        <is>
          <t>06, T09</t>
        </is>
      </c>
      <c r="H110" s="3" t="inlineStr">
        <is>
          <t>Targets met</t>
        </is>
      </c>
      <c r="I110" s="3" t="inlineStr">
        <is>
          <t>L</t>
        </is>
      </c>
      <c r="J110" s="3" t="inlineStr"/>
      <c r="K110" s="3" t="inlineStr">
        <is>
          <t>Not started</t>
        </is>
      </c>
      <c r="L110" s="3" t="inlineStr">
        <is>
          <t>—</t>
        </is>
      </c>
      <c r="M110" s="3" t="inlineStr"/>
      <c r="N110" s="3" t="inlineStr"/>
      <c r="O110" s="3" t="inlineStr"/>
      <c r="P110" s="3" t="inlineStr"/>
    </row>
    <row r="111">
      <c r="A111" s="3" t="inlineStr">
        <is>
          <t>BPMS-181</t>
        </is>
      </c>
      <c r="B111" s="3" t="inlineStr">
        <is>
          <t>SEC</t>
        </is>
      </c>
      <c r="C111" s="3" t="inlineStr">
        <is>
          <t>External pentest + ASVS L2 self-assessment + fixes</t>
        </is>
      </c>
      <c r="D111" s="3" t="inlineStr">
        <is>
          <t>P1</t>
        </is>
      </c>
      <c r="E111" s="3" t="inlineStr">
        <is>
          <t>GA</t>
        </is>
      </c>
      <c r="F111" s="3" t="inlineStr">
        <is>
          <t>Security</t>
        </is>
      </c>
      <c r="G111" s="3" t="inlineStr">
        <is>
          <t>06</t>
        </is>
      </c>
      <c r="H111" s="3" t="inlineStr">
        <is>
          <t>0 crit/high</t>
        </is>
      </c>
      <c r="I111" s="3" t="inlineStr">
        <is>
          <t>M</t>
        </is>
      </c>
      <c r="J111" s="3" t="inlineStr"/>
      <c r="K111" s="3" t="inlineStr">
        <is>
          <t>Not started</t>
        </is>
      </c>
      <c r="L111" s="3" t="inlineStr">
        <is>
          <t>—</t>
        </is>
      </c>
      <c r="M111" s="3" t="inlineStr"/>
      <c r="N111" s="3" t="inlineStr"/>
      <c r="O111" s="3" t="inlineStr"/>
      <c r="P111" s="3" t="inlineStr"/>
    </row>
    <row r="112">
      <c r="A112" s="3" t="inlineStr">
        <is>
          <t>BPMS-182</t>
        </is>
      </c>
      <c r="B112" s="3" t="inlineStr">
        <is>
          <t>UX</t>
        </is>
      </c>
      <c r="C112" s="3" t="inlineStr">
        <is>
          <t>WCAG 2.2 AA audit + VPAT 2.5 INT</t>
        </is>
      </c>
      <c r="D112" s="3" t="inlineStr">
        <is>
          <t>P1</t>
        </is>
      </c>
      <c r="E112" s="3" t="inlineStr">
        <is>
          <t>GA</t>
        </is>
      </c>
      <c r="F112" s="3" t="inlineStr">
        <is>
          <t>Design/QA</t>
        </is>
      </c>
      <c r="G112" s="3" t="inlineStr">
        <is>
          <t>A11Y-01/03</t>
        </is>
      </c>
      <c r="H112" s="3" t="inlineStr">
        <is>
          <t>Audit pass</t>
        </is>
      </c>
      <c r="I112" s="3" t="inlineStr">
        <is>
          <t>M</t>
        </is>
      </c>
      <c r="J112" s="3" t="inlineStr"/>
      <c r="K112" s="3" t="inlineStr">
        <is>
          <t>Not started</t>
        </is>
      </c>
      <c r="L112" s="3" t="inlineStr">
        <is>
          <t>—</t>
        </is>
      </c>
      <c r="M112" s="3" t="inlineStr"/>
      <c r="N112" s="3" t="inlineStr"/>
      <c r="O112" s="3" t="inlineStr"/>
      <c r="P112" s="3" t="inlineStr"/>
    </row>
    <row r="113">
      <c r="A113" s="3" t="inlineStr">
        <is>
          <t>BPMS-183</t>
        </is>
      </c>
      <c r="B113" s="3" t="inlineStr">
        <is>
          <t>I18N</t>
        </is>
      </c>
      <c r="C113" s="3" t="inlineStr">
        <is>
          <t>3 UI languages + RTL + pseudo-locale</t>
        </is>
      </c>
      <c r="D113" s="3" t="inlineStr">
        <is>
          <t>P1</t>
        </is>
      </c>
      <c r="E113" s="3" t="inlineStr">
        <is>
          <t>GA</t>
        </is>
      </c>
      <c r="F113" s="3" t="inlineStr">
        <is>
          <t>FE</t>
        </is>
      </c>
      <c r="G113" s="3" t="inlineStr">
        <is>
          <t>FR-P04, OQ-09</t>
        </is>
      </c>
      <c r="H113" s="3" t="inlineStr">
        <is>
          <t>Checks pass</t>
        </is>
      </c>
      <c r="I113" s="3" t="inlineStr">
        <is>
          <t>M</t>
        </is>
      </c>
      <c r="J113" s="3" t="inlineStr"/>
      <c r="K113" s="3" t="inlineStr">
        <is>
          <t>Not started</t>
        </is>
      </c>
      <c r="L113" s="3" t="inlineStr">
        <is>
          <t>—</t>
        </is>
      </c>
      <c r="M113" s="3" t="inlineStr"/>
      <c r="N113" s="3" t="inlineStr"/>
      <c r="O113" s="3" t="inlineStr"/>
      <c r="P113" s="3" t="inlineStr"/>
    </row>
    <row r="114">
      <c r="A114" s="3" t="inlineStr">
        <is>
          <t>BPMS-184</t>
        </is>
      </c>
      <c r="B114" s="3" t="inlineStr">
        <is>
          <t>OPS</t>
        </is>
      </c>
      <c r="C114" s="3" t="inlineStr">
        <is>
          <t>Helm chart, air-gapped bundle, upgrade N-1→N tests, dedicated-DB tier</t>
        </is>
      </c>
      <c r="D114" s="3" t="inlineStr">
        <is>
          <t>P1</t>
        </is>
      </c>
      <c r="E114" s="3" t="inlineStr">
        <is>
          <t>GA</t>
        </is>
      </c>
      <c r="F114" s="3" t="inlineStr">
        <is>
          <t>DevOps</t>
        </is>
      </c>
      <c r="G114" s="3" t="inlineStr">
        <is>
          <t>FR-P06, FR-S10</t>
        </is>
      </c>
      <c r="H114" s="3" t="inlineStr">
        <is>
          <t>Upgrade with live instances</t>
        </is>
      </c>
      <c r="I114" s="3" t="inlineStr">
        <is>
          <t>L</t>
        </is>
      </c>
      <c r="J114" s="3" t="inlineStr"/>
      <c r="K114" s="3" t="inlineStr">
        <is>
          <t>Not started</t>
        </is>
      </c>
      <c r="L114" s="3" t="inlineStr">
        <is>
          <t>—</t>
        </is>
      </c>
      <c r="M114" s="3" t="inlineStr"/>
      <c r="N114" s="3" t="inlineStr"/>
      <c r="O114" s="3" t="inlineStr"/>
      <c r="P114" s="3" t="inlineStr"/>
    </row>
    <row r="115">
      <c r="A115" s="3" t="inlineStr">
        <is>
          <t>BPMS-185</t>
        </is>
      </c>
      <c r="B115" s="3" t="inlineStr">
        <is>
          <t>DOC</t>
        </is>
      </c>
      <c r="C115" s="3" t="inlineStr">
        <is>
          <t>Docs site, admin guide, API reference, trust pack</t>
        </is>
      </c>
      <c r="D115" s="3" t="inlineStr">
        <is>
          <t>P1</t>
        </is>
      </c>
      <c r="E115" s="3" t="inlineStr">
        <is>
          <t>GA</t>
        </is>
      </c>
      <c r="F115" s="3" t="inlineStr">
        <is>
          <t>Writer</t>
        </is>
      </c>
      <c r="G115" s="3" t="inlineStr">
        <is>
          <t>FX-P06</t>
        </is>
      </c>
      <c r="H115" s="3" t="inlineStr">
        <is>
          <t>Published</t>
        </is>
      </c>
      <c r="I115" s="3" t="inlineStr">
        <is>
          <t>M</t>
        </is>
      </c>
      <c r="J115" s="3" t="inlineStr"/>
      <c r="K115" s="3" t="inlineStr">
        <is>
          <t>Not started</t>
        </is>
      </c>
      <c r="L115" s="3" t="inlineStr">
        <is>
          <t>—</t>
        </is>
      </c>
      <c r="M115" s="3" t="inlineStr"/>
      <c r="N115" s="3" t="inlineStr"/>
      <c r="O115" s="3" t="inlineStr"/>
      <c r="P115" s="3" t="inlineStr"/>
    </row>
    <row r="116">
      <c r="A116" s="3" t="inlineStr">
        <is>
          <t>BPMS-187</t>
        </is>
      </c>
      <c r="B116" s="3" t="inlineStr">
        <is>
          <t>E2E</t>
        </is>
      </c>
      <c r="C116" s="3" t="inlineStr">
        <is>
          <t>E2E-GA regression: 3 browsers × 2 viewports, cache-off, upgrade-path R1→1.0, air-gapped</t>
        </is>
      </c>
      <c r="D116" s="3" t="inlineStr">
        <is>
          <t>P1</t>
        </is>
      </c>
      <c r="E116" s="3" t="inlineStr">
        <is>
          <t>GA</t>
        </is>
      </c>
      <c r="F116" s="3" t="inlineStr">
        <is>
          <t>SDET</t>
        </is>
      </c>
      <c r="G116" s="3" t="inlineStr">
        <is>
          <t>23 §5</t>
        </is>
      </c>
      <c r="H116" s="3" t="inlineStr">
        <is>
          <t>Green; flake &lt; 0.5 %</t>
        </is>
      </c>
      <c r="I116" s="3" t="inlineStr">
        <is>
          <t>M</t>
        </is>
      </c>
      <c r="J116" s="3" t="inlineStr">
        <is>
          <t>BPMS-169</t>
        </is>
      </c>
      <c r="K116" s="3" t="inlineStr">
        <is>
          <t>Not started</t>
        </is>
      </c>
      <c r="L116" s="3" t="inlineStr">
        <is>
          <t>—</t>
        </is>
      </c>
      <c r="M116" s="3" t="inlineStr"/>
      <c r="N116" s="3" t="inlineStr"/>
      <c r="O116" s="3" t="inlineStr"/>
      <c r="P116" s="3" t="inlineStr"/>
    </row>
    <row r="117">
      <c r="A117" s="3" t="inlineStr">
        <is>
          <t>BPMS-190</t>
        </is>
      </c>
      <c r="B117" s="3" t="inlineStr">
        <is>
          <t>REL</t>
        </is>
      </c>
      <c r="C117" s="3" t="inlineStr">
        <is>
          <t>GA release: signed artefacts, SBOM, provenance, runbooks</t>
        </is>
      </c>
      <c r="D117" s="3" t="inlineStr">
        <is>
          <t>P1</t>
        </is>
      </c>
      <c r="E117" s="3" t="inlineStr">
        <is>
          <t>GA</t>
        </is>
      </c>
      <c r="F117" s="3" t="inlineStr">
        <is>
          <t>Tech lead</t>
        </is>
      </c>
      <c r="G117" s="3" t="inlineStr">
        <is>
          <t>G5</t>
        </is>
      </c>
      <c r="H117" s="3" t="inlineStr">
        <is>
          <t>Released</t>
        </is>
      </c>
      <c r="I117" s="3" t="inlineStr">
        <is>
          <t>S</t>
        </is>
      </c>
      <c r="J117" s="3" t="inlineStr">
        <is>
          <t>M10</t>
        </is>
      </c>
      <c r="K117" s="3" t="inlineStr">
        <is>
          <t>Not started</t>
        </is>
      </c>
      <c r="L117" s="3" t="inlineStr">
        <is>
          <t>—</t>
        </is>
      </c>
      <c r="M117" s="3" t="inlineStr"/>
      <c r="N117" s="3" t="inlineStr"/>
      <c r="O117" s="3" t="inlineStr"/>
      <c r="P117" s="3" t="inlineStr"/>
    </row>
    <row r="118">
      <c r="A118" s="3" t="inlineStr">
        <is>
          <t>BPMS-200</t>
        </is>
      </c>
      <c r="B118" s="3" t="inlineStr">
        <is>
          <t>INT</t>
        </is>
      </c>
      <c r="C118" s="3" t="inlineStr">
        <is>
          <t>Chat/host-platform connectors (identity, embed, cards, notifications, directory)</t>
        </is>
      </c>
      <c r="D118" s="3" t="inlineStr">
        <is>
          <t>P2</t>
        </is>
      </c>
      <c r="E118" s="3" t="inlineStr">
        <is>
          <t>POST</t>
        </is>
      </c>
      <c r="F118" s="3" t="inlineStr">
        <is>
          <t>Backend</t>
        </is>
      </c>
      <c r="G118" s="3" t="inlineStr">
        <is>
          <t>13 §4</t>
        </is>
      </c>
      <c r="H118" s="3" t="inlineStr">
        <is>
          <t>Demand gate</t>
        </is>
      </c>
      <c r="I118" s="3" t="inlineStr">
        <is>
          <t>XL</t>
        </is>
      </c>
      <c r="J118" s="3" t="inlineStr"/>
      <c r="K118" s="3" t="inlineStr">
        <is>
          <t>Not started</t>
        </is>
      </c>
      <c r="L118" s="3" t="inlineStr">
        <is>
          <t>—</t>
        </is>
      </c>
      <c r="M118" s="3" t="inlineStr"/>
      <c r="N118" s="3" t="inlineStr"/>
      <c r="O118" s="3" t="inlineStr"/>
      <c r="P118" s="3" t="inlineStr"/>
    </row>
    <row r="119">
      <c r="A119" s="3" t="inlineStr">
        <is>
          <t>BPMS-201</t>
        </is>
      </c>
      <c r="B119" s="3" t="inlineStr">
        <is>
          <t>INT</t>
        </is>
      </c>
      <c r="C119" s="3" t="inlineStr">
        <is>
          <t>Chat cards (Slack/Teams), M365/Google, HRIS, ERP connectors</t>
        </is>
      </c>
      <c r="D119" s="3" t="inlineStr">
        <is>
          <t>P2</t>
        </is>
      </c>
      <c r="E119" s="3" t="inlineStr">
        <is>
          <t>POST</t>
        </is>
      </c>
      <c r="F119" s="3" t="inlineStr">
        <is>
          <t>Backend</t>
        </is>
      </c>
      <c r="G119" s="3" t="inlineStr">
        <is>
          <t>INT-*</t>
        </is>
      </c>
      <c r="H119" s="3" t="inlineStr">
        <is>
          <t>—</t>
        </is>
      </c>
      <c r="I119" s="3" t="inlineStr">
        <is>
          <t>XL</t>
        </is>
      </c>
      <c r="J119" s="3" t="inlineStr"/>
      <c r="K119" s="3" t="inlineStr">
        <is>
          <t>Not started</t>
        </is>
      </c>
      <c r="L119" s="3" t="inlineStr">
        <is>
          <t>—</t>
        </is>
      </c>
      <c r="M119" s="3" t="inlineStr"/>
      <c r="N119" s="3" t="inlineStr"/>
      <c r="O119" s="3" t="inlineStr"/>
      <c r="P119" s="3" t="inlineStr"/>
    </row>
    <row r="120">
      <c r="A120" s="3" t="inlineStr">
        <is>
          <t>BPMS-202</t>
        </is>
      </c>
      <c r="B120" s="3" t="inlineStr">
        <is>
          <t>SIGN</t>
        </is>
      </c>
      <c r="C120" s="3" t="inlineStr">
        <is>
          <t>QES via QTSP; Aadhaar eSign via ESP; SMS/IDV providers</t>
        </is>
      </c>
      <c r="D120" s="3" t="inlineStr">
        <is>
          <t>P2</t>
        </is>
      </c>
      <c r="E120" s="3" t="inlineStr">
        <is>
          <t>POST</t>
        </is>
      </c>
      <c r="F120" s="3" t="inlineStr">
        <is>
          <t>Backend</t>
        </is>
      </c>
      <c r="G120" s="3" t="inlineStr">
        <is>
          <t>FX-S13, FX-S07</t>
        </is>
      </c>
      <c r="H120" s="3" t="inlineStr">
        <is>
          <t>—</t>
        </is>
      </c>
      <c r="I120" s="3" t="inlineStr">
        <is>
          <t>L</t>
        </is>
      </c>
      <c r="J120" s="3" t="inlineStr"/>
      <c r="K120" s="3" t="inlineStr">
        <is>
          <t>Not started</t>
        </is>
      </c>
      <c r="L120" s="3" t="inlineStr">
        <is>
          <t>—</t>
        </is>
      </c>
      <c r="M120" s="3" t="inlineStr"/>
      <c r="N120" s="3" t="inlineStr"/>
      <c r="O120" s="3" t="inlineStr"/>
      <c r="P120" s="3" t="inlineStr"/>
    </row>
    <row r="121">
      <c r="A121" s="3" t="inlineStr">
        <is>
          <t>BPMS-203</t>
        </is>
      </c>
      <c r="B121" s="3" t="inlineStr">
        <is>
          <t>EXEC</t>
        </is>
      </c>
      <c r="C121" s="3" t="inlineStr">
        <is>
          <t>BPMN view (diagram-js), DMN import/export, migration tool, simulation</t>
        </is>
      </c>
      <c r="D121" s="3" t="inlineStr">
        <is>
          <t>P2</t>
        </is>
      </c>
      <c r="E121" s="3" t="inlineStr">
        <is>
          <t>POST</t>
        </is>
      </c>
      <c r="F121" s="3" t="inlineStr">
        <is>
          <t>Runtime/FE</t>
        </is>
      </c>
      <c r="G121" s="3" t="inlineStr">
        <is>
          <t>ADR-0018, FR-E07/E10, FR-I04</t>
        </is>
      </c>
      <c r="H121" s="3" t="inlineStr">
        <is>
          <t>—</t>
        </is>
      </c>
      <c r="I121" s="3" t="inlineStr">
        <is>
          <t>XL</t>
        </is>
      </c>
      <c r="J121" s="3" t="inlineStr"/>
      <c r="K121" s="3" t="inlineStr">
        <is>
          <t>Not started</t>
        </is>
      </c>
      <c r="L121" s="3" t="inlineStr">
        <is>
          <t>—</t>
        </is>
      </c>
      <c r="M121" s="3" t="inlineStr"/>
      <c r="N121" s="3" t="inlineStr"/>
      <c r="O121" s="3" t="inlineStr"/>
      <c r="P121" s="3" t="inlineStr"/>
    </row>
    <row r="122">
      <c r="A122" s="3" t="inlineStr">
        <is>
          <t>BPMS-204</t>
        </is>
      </c>
      <c r="B122" s="3" t="inlineStr">
        <is>
          <t>INS</t>
        </is>
      </c>
      <c r="C122" s="3" t="inlineStr">
        <is>
          <t>Event-log export OCEL 2.0 / XES</t>
        </is>
      </c>
      <c r="D122" s="3" t="inlineStr">
        <is>
          <t>P2</t>
        </is>
      </c>
      <c r="E122" s="3" t="inlineStr">
        <is>
          <t>POST</t>
        </is>
      </c>
      <c r="F122" s="3" t="inlineStr">
        <is>
          <t>Data</t>
        </is>
      </c>
      <c r="G122" s="3" t="inlineStr">
        <is>
          <t>FR-I03</t>
        </is>
      </c>
      <c r="H122" s="3" t="inlineStr">
        <is>
          <t>Schema-valid</t>
        </is>
      </c>
      <c r="I122" s="3" t="inlineStr">
        <is>
          <t>M</t>
        </is>
      </c>
      <c r="J122" s="3" t="inlineStr"/>
      <c r="K122" s="3" t="inlineStr">
        <is>
          <t>Not started</t>
        </is>
      </c>
      <c r="L122" s="3" t="inlineStr">
        <is>
          <t>—</t>
        </is>
      </c>
      <c r="M122" s="3" t="inlineStr"/>
      <c r="N122" s="3" t="inlineStr"/>
      <c r="O122" s="3" t="inlineStr"/>
      <c r="P122" s="3" t="inlineStr"/>
    </row>
    <row r="123">
      <c r="A123" s="3" t="inlineStr">
        <is>
          <t>BPMS-205</t>
        </is>
      </c>
      <c r="B123" s="3" t="inlineStr">
        <is>
          <t>AI</t>
        </is>
      </c>
      <c r="C123" s="3" t="inlineStr">
        <is>
          <t>Governed AI agent steps</t>
        </is>
      </c>
      <c r="D123" s="3" t="inlineStr">
        <is>
          <t>P2</t>
        </is>
      </c>
      <c r="E123" s="3" t="inlineStr">
        <is>
          <t>POST</t>
        </is>
      </c>
      <c r="F123" s="3" t="inlineStr">
        <is>
          <t>Fullstack</t>
        </is>
      </c>
      <c r="G123" s="3" t="inlineStr">
        <is>
          <t>16</t>
        </is>
      </c>
      <c r="H123" s="3" t="inlineStr">
        <is>
          <t>Human gate</t>
        </is>
      </c>
      <c r="I123" s="3" t="inlineStr">
        <is>
          <t>L</t>
        </is>
      </c>
      <c r="J123" s="3" t="inlineStr"/>
      <c r="K123" s="3" t="inlineStr">
        <is>
          <t>Not started</t>
        </is>
      </c>
      <c r="L123" s="3" t="inlineStr">
        <is>
          <t>—</t>
        </is>
      </c>
      <c r="M123" s="3" t="inlineStr"/>
      <c r="N123" s="3" t="inlineStr"/>
      <c r="O123" s="3" t="inlineStr"/>
      <c r="P123" s="3" t="inlineStr"/>
    </row>
  </sheetData>
  <conditionalFormatting sqref="K2:K123">
    <cfRule type="cellIs" priority="1" operator="equal" dxfId="0">
      <formula>"Blocked"</formula>
    </cfRule>
    <cfRule type="cellIs" priority="2" operator="equal" dxfId="1">
      <formula>"Done"</formula>
    </cfRule>
    <cfRule type="cellIs" priority="3" operator="equal" dxfId="2">
      <formula>"In progress"</formula>
    </cfRule>
  </conditionalFormatting>
  <dataValidations count="1">
    <dataValidation sqref="K2:K123" showDropDown="0" showInputMessage="0" showErrorMessage="0" allowBlank="1" type="list">
      <formula1>"Not started,In progress,Blocked,In review,Done,Deferred"</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464"/>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00" customWidth="1" min="3" max="3"/>
    <col width="30" customWidth="1" min="4" max="4"/>
    <col width="13" customWidth="1" min="5" max="5"/>
  </cols>
  <sheetData>
    <row r="1">
      <c r="A1" s="2" t="inlineStr">
        <is>
          <t>Domain</t>
        </is>
      </c>
      <c r="B1" s="2" t="inlineStr">
        <is>
          <t>ID</t>
        </is>
      </c>
      <c r="C1" s="2" t="inlineStr">
        <is>
          <t>Details (as in source doc)</t>
        </is>
      </c>
      <c r="D1" s="2" t="inlineStr">
        <is>
          <t>Source doc</t>
        </is>
      </c>
      <c r="E1" s="2" t="inlineStr">
        <is>
          <t>Status</t>
        </is>
      </c>
    </row>
    <row r="2">
      <c r="A2" s="3" t="inlineStr">
        <is>
          <t>Templates (TPL)</t>
        </is>
      </c>
      <c r="B2" s="3" t="inlineStr">
        <is>
          <t>TPL-001</t>
        </is>
      </c>
      <c r="C2" s="3" t="inlineStr">
        <is>
          <t>Template manifest schema v1 + validator | 1 | M | IR v1 compiler</t>
        </is>
      </c>
      <c r="D2" s="3" t="inlineStr">
        <is>
          <t>19-PROCESS-TEMPLATE-LIBRARY.md</t>
        </is>
      </c>
      <c r="E2" s="3" t="inlineStr">
        <is>
          <t>Not started</t>
        </is>
      </c>
    </row>
    <row r="3">
      <c r="A3" s="3" t="inlineStr">
        <is>
          <t>Templates (TPL)</t>
        </is>
      </c>
      <c r="B3" s="3" t="inlineStr">
        <is>
          <t>TPL-002</t>
        </is>
      </c>
      <c r="C3" s="3" t="inlineStr">
        <is>
          <t>Gallery storage, signing and platform-admin publish UI | 1 | M | TPL-001, platform admin console</t>
        </is>
      </c>
      <c r="D3" s="3" t="inlineStr">
        <is>
          <t>19-PROCESS-TEMPLATE-LIBRARY.md</t>
        </is>
      </c>
      <c r="E3" s="3" t="inlineStr">
        <is>
          <t>Not started</t>
        </is>
      </c>
    </row>
    <row r="4">
      <c r="A4" s="3" t="inlineStr">
        <is>
          <t>Templates (TPL)</t>
        </is>
      </c>
      <c r="B4" s="3" t="inlineStr">
        <is>
          <t>TPL-003</t>
        </is>
      </c>
      <c r="C4" s="3" t="inlineStr">
        <is>
          <t>Install wizard (role mapping, parameters, optional steps, test-run) | 1 | L | TPL-001, authz roles/groups, test-run (FR-E11)</t>
        </is>
      </c>
      <c r="D4" s="3" t="inlineStr">
        <is>
          <t>19-PROCESS-TEMPLATE-LIBRARY.md</t>
        </is>
      </c>
      <c r="E4" s="3" t="inlineStr">
        <is>
          <t>Not started</t>
        </is>
      </c>
    </row>
    <row r="5">
      <c r="A5" s="3" t="inlineStr">
        <is>
          <t>Templates (TPL)</t>
        </is>
      </c>
      <c r="B5" s="3" t="inlineStr">
        <is>
          <t>TPL-004</t>
        </is>
      </c>
      <c r="C5" s="3" t="inlineStr">
        <is>
          <t>Lineage tracking + installed-from badge | 1 | S | TPL-003</t>
        </is>
      </c>
      <c r="D5" s="3" t="inlineStr">
        <is>
          <t>19-PROCESS-TEMPLATE-LIBRARY.md</t>
        </is>
      </c>
      <c r="E5" s="3" t="inlineStr">
        <is>
          <t>Not started</t>
        </is>
      </c>
    </row>
    <row r="6">
      <c r="A6" s="3" t="inlineStr">
        <is>
          <t>Templates (TPL)</t>
        </is>
      </c>
      <c r="B6" s="3" t="inlineStr">
        <is>
          <t>TPL-005</t>
        </is>
      </c>
      <c r="C6" s="3" t="inlineStr">
        <is>
          <t>Template CI: compile, fixtures, a11y, i18n lint | 1 | M | TPL-001, conformance harness</t>
        </is>
      </c>
      <c r="D6" s="3" t="inlineStr">
        <is>
          <t>19-PROCESS-TEMPLATE-LIBRARY.md</t>
        </is>
      </c>
      <c r="E6" s="3" t="inlineStr">
        <is>
          <t>Not started</t>
        </is>
      </c>
    </row>
    <row r="7">
      <c r="A7" s="3" t="inlineStr">
        <is>
          <t>Templates (TPL)</t>
        </is>
      </c>
      <c r="B7" s="3" t="inlineStr">
        <is>
          <t>TPL-006</t>
        </is>
      </c>
      <c r="C7" s="3" t="inlineStr">
        <is>
          <t>SOP skeleton block model with `&lt;&lt;fill&gt;&gt;` prompts + publish blocker | 1 | M | SOP content model (ADR-0013)</t>
        </is>
      </c>
      <c r="D7" s="3" t="inlineStr">
        <is>
          <t>19-PROCESS-TEMPLATE-LIBRARY.md</t>
        </is>
      </c>
      <c r="E7" s="3" t="inlineStr">
        <is>
          <t>Not started</t>
        </is>
      </c>
    </row>
    <row r="8">
      <c r="A8" s="3" t="inlineStr">
        <is>
          <t>Templates (TPL)</t>
        </is>
      </c>
      <c r="B8" s="3" t="inlineStr">
        <is>
          <t>TPL-007</t>
        </is>
      </c>
      <c r="C8" s="3" t="inlineStr">
        <is>
          <t>KPI definitions from domain events + default dashboards | 1 | M | Insights event model</t>
        </is>
      </c>
      <c r="D8" s="3" t="inlineStr">
        <is>
          <t>19-PROCESS-TEMPLATE-LIBRARY.md</t>
        </is>
      </c>
      <c r="E8" s="3" t="inlineStr">
        <is>
          <t>Not started</t>
        </is>
      </c>
    </row>
    <row r="9">
      <c r="A9" s="3" t="inlineStr">
        <is>
          <t>Templates (TPL)</t>
        </is>
      </c>
      <c r="B9" s="3" t="inlineStr">
        <is>
          <t>TPL-008</t>
        </is>
      </c>
      <c r="C9" s="3" t="inlineStr">
        <is>
          <t>Author Wave 1 HR templates (5) | 1 | L | TPL-001, TPL-006</t>
        </is>
      </c>
      <c r="D9" s="3" t="inlineStr">
        <is>
          <t>19-PROCESS-TEMPLATE-LIBRARY.md</t>
        </is>
      </c>
      <c r="E9" s="3" t="inlineStr">
        <is>
          <t>Not started</t>
        </is>
      </c>
    </row>
    <row r="10">
      <c r="A10" s="3" t="inlineStr">
        <is>
          <t>Templates (TPL)</t>
        </is>
      </c>
      <c r="B10" s="3" t="inlineStr">
        <is>
          <t>TPL-009</t>
        </is>
      </c>
      <c r="C10" s="3" t="inlineStr">
        <is>
          <t>Author Wave 1 finance/IT templates (4) | 1 | L | TPL-001, rule tables</t>
        </is>
      </c>
      <c r="D10" s="3" t="inlineStr">
        <is>
          <t>19-PROCESS-TEMPLATE-LIBRARY.md</t>
        </is>
      </c>
      <c r="E10" s="3" t="inlineStr">
        <is>
          <t>Not started</t>
        </is>
      </c>
    </row>
    <row r="11">
      <c r="A11" s="3" t="inlineStr">
        <is>
          <t>Templates (TPL)</t>
        </is>
      </c>
      <c r="B11" s="3" t="inlineStr">
        <is>
          <t>TPL-010</t>
        </is>
      </c>
      <c r="C11" s="3" t="inlineStr">
        <is>
          <t>Author Wave 1 GRC templates (3) | 1 | M | TPL-001</t>
        </is>
      </c>
      <c r="D11" s="3" t="inlineStr">
        <is>
          <t>19-PROCESS-TEMPLATE-LIBRARY.md</t>
        </is>
      </c>
      <c r="E11" s="3" t="inlineStr">
        <is>
          <t>Not started</t>
        </is>
      </c>
    </row>
    <row r="12">
      <c r="A12" s="3" t="inlineStr">
        <is>
          <t>Templates (TPL)</t>
        </is>
      </c>
      <c r="B12" s="3" t="inlineStr">
        <is>
          <t>TPL-011</t>
        </is>
      </c>
      <c r="C12" s="3" t="inlineStr">
        <is>
          <t>Author `qms.capa` case template | 1 (or 2) | M | Case management (FR-C01)</t>
        </is>
      </c>
      <c r="D12" s="3" t="inlineStr">
        <is>
          <t>19-PROCESS-TEMPLATE-LIBRARY.md</t>
        </is>
      </c>
      <c r="E12" s="3" t="inlineStr">
        <is>
          <t>Not started</t>
        </is>
      </c>
    </row>
    <row r="13">
      <c r="A13" s="3" t="inlineStr">
        <is>
          <t>Templates (TPL)</t>
        </is>
      </c>
      <c r="B13" s="3" t="inlineStr">
        <is>
          <t>TPL-012</t>
        </is>
      </c>
      <c r="C13" s="3" t="inlineStr">
        <is>
          <t>Hindi locale bundles for Wave 1 | 1 | S | TPL-008..011</t>
        </is>
      </c>
      <c r="D13" s="3" t="inlineStr">
        <is>
          <t>19-PROCESS-TEMPLATE-LIBRARY.md</t>
        </is>
      </c>
      <c r="E13" s="3" t="inlineStr">
        <is>
          <t>Not started</t>
        </is>
      </c>
    </row>
    <row r="14">
      <c r="A14" s="3" t="inlineStr">
        <is>
          <t>Templates (TPL)</t>
        </is>
      </c>
      <c r="B14" s="3" t="inlineStr">
        <is>
          <t>TPL-013</t>
        </is>
      </c>
      <c r="C14" s="3" t="inlineStr">
        <is>
          <t>Upgrade offer: 3-way semantic diff + selective accept | 2 | L | TPL-004, semantic diff (FR-G05)</t>
        </is>
      </c>
      <c r="D14" s="3" t="inlineStr">
        <is>
          <t>19-PROCESS-TEMPLATE-LIBRARY.md</t>
        </is>
      </c>
      <c r="E14" s="3" t="inlineStr">
        <is>
          <t>Not started</t>
        </is>
      </c>
    </row>
    <row r="15">
      <c r="A15" s="3" t="inlineStr">
        <is>
          <t>Templates (TPL)</t>
        </is>
      </c>
      <c r="B15" s="3" t="inlineStr">
        <is>
          <t>TPL-014</t>
        </is>
      </c>
      <c r="C15" s="3" t="inlineStr">
        <is>
          <t>Workspace-private templates ("save as template") | 2 | M | TPL-001</t>
        </is>
      </c>
      <c r="D15" s="3" t="inlineStr">
        <is>
          <t>19-PROCESS-TEMPLATE-LIBRARY.md</t>
        </is>
      </c>
      <c r="E15" s="3" t="inlineStr">
        <is>
          <t>Not started</t>
        </is>
      </c>
    </row>
    <row r="16">
      <c r="A16" s="3" t="inlineStr">
        <is>
          <t>Templates (TPL)</t>
        </is>
      </c>
      <c r="B16" s="3" t="inlineStr">
        <is>
          <t>TPL-015</t>
        </is>
      </c>
      <c r="C16" s="3" t="inlineStr">
        <is>
          <t>Author Wave 2 templates (~27) | 2 | L | TPL-005</t>
        </is>
      </c>
      <c r="D16" s="3" t="inlineStr">
        <is>
          <t>19-PROCESS-TEMPLATE-LIBRARY.md</t>
        </is>
      </c>
      <c r="E16" s="3" t="inlineStr">
        <is>
          <t>Not started</t>
        </is>
      </c>
    </row>
    <row r="17">
      <c r="A17" s="3" t="inlineStr">
        <is>
          <t>Templates (TPL)</t>
        </is>
      </c>
      <c r="B17" s="3" t="inlineStr">
        <is>
          <t>TPL-016</t>
        </is>
      </c>
      <c r="C17" s="3" t="inlineStr">
        <is>
          <t>Hook-point framework (connector replaces human fallback) | 2 | M | Connector framework</t>
        </is>
      </c>
      <c r="D17" s="3" t="inlineStr">
        <is>
          <t>19-PROCESS-TEMPLATE-LIBRARY.md</t>
        </is>
      </c>
      <c r="E17" s="3" t="inlineStr">
        <is>
          <t>Not started</t>
        </is>
      </c>
    </row>
    <row r="18">
      <c r="A18" s="3" t="inlineStr">
        <is>
          <t>Templates (TPL)</t>
        </is>
      </c>
      <c r="B18" s="3" t="inlineStr">
        <is>
          <t>TPL-017</t>
        </is>
      </c>
      <c r="C18" s="3" t="inlineStr">
        <is>
          <t>APQC PCF taxonomy import for the landscape (with attribution) | 2 | S | Legal confirmation of PCF licence ⚠</t>
        </is>
      </c>
      <c r="D18" s="3" t="inlineStr">
        <is>
          <t>19-PROCESS-TEMPLATE-LIBRARY.md</t>
        </is>
      </c>
      <c r="E18" s="3" t="inlineStr">
        <is>
          <t>Not started</t>
        </is>
      </c>
    </row>
    <row r="19">
      <c r="A19" s="3" t="inlineStr">
        <is>
          <t>Templates (TPL)</t>
        </is>
      </c>
      <c r="B19" s="3" t="inlineStr">
        <is>
          <t>TPL-018</t>
        </is>
      </c>
      <c r="C19" s="3" t="inlineStr">
        <is>
          <t>GxP pack with Part 11 signatures + validation fixtures | 3 | L | ESIG-01..05</t>
        </is>
      </c>
      <c r="D19" s="3" t="inlineStr">
        <is>
          <t>19-PROCESS-TEMPLATE-LIBRARY.md</t>
        </is>
      </c>
      <c r="E19" s="3" t="inlineStr">
        <is>
          <t>Not started</t>
        </is>
      </c>
    </row>
    <row r="20">
      <c r="A20" s="3" t="inlineStr">
        <is>
          <t>Templates (TPL)</t>
        </is>
      </c>
      <c r="B20" s="3" t="inlineStr">
        <is>
          <t>TPL-019</t>
        </is>
      </c>
      <c r="C20" s="3" t="inlineStr">
        <is>
          <t>Healthcare, FS, manufacturing, public sector, education packs | 3 | L | TPL-015, demand gate</t>
        </is>
      </c>
      <c r="D20" s="3" t="inlineStr">
        <is>
          <t>19-PROCESS-TEMPLATE-LIBRARY.md</t>
        </is>
      </c>
      <c r="E20" s="3" t="inlineStr">
        <is>
          <t>Not started</t>
        </is>
      </c>
    </row>
    <row r="21">
      <c r="A21" s="3" t="inlineStr">
        <is>
          <t>Templates (TPL)</t>
        </is>
      </c>
      <c r="B21" s="3" t="inlineStr">
        <is>
          <t>TPL-020</t>
        </is>
      </c>
      <c r="C21" s="3" t="inlineStr">
        <is>
          <t>Template marketplace (third-party submission + review) | 3 | L | TPL-002, Phase 4 gate</t>
        </is>
      </c>
      <c r="D21" s="3" t="inlineStr">
        <is>
          <t>19-PROCESS-TEMPLATE-LIBRARY.md</t>
        </is>
      </c>
      <c r="E21" s="3" t="inlineStr">
        <is>
          <t>Not started</t>
        </is>
      </c>
    </row>
    <row r="22">
      <c r="A22" s="3" t="inlineStr">
        <is>
          <t>UX (UX)</t>
        </is>
      </c>
      <c r="B22" s="3" t="inlineStr">
        <is>
          <t>UX-001</t>
        </is>
      </c>
      <c r="C22" s="3" t="inlineStr">
        <is>
          <t>Design tokens, theming (accent with contrast enforcement), dark-ready | M1 | M</t>
        </is>
      </c>
      <c r="D22" s="3" t="inlineStr">
        <is>
          <t>05-UX-AND-DESIGN.md</t>
        </is>
      </c>
      <c r="E22" s="3" t="inlineStr">
        <is>
          <t>Not started</t>
        </is>
      </c>
    </row>
    <row r="23">
      <c r="A23" s="3" t="inlineStr">
        <is>
          <t>UX (UX)</t>
        </is>
      </c>
      <c r="B23" s="3" t="inlineStr">
        <is>
          <t>UX-002</t>
        </is>
      </c>
      <c r="C23" s="3" t="inlineStr">
        <is>
          <t>App shell, permission-shaped nav, workspace switcher | M1 | M</t>
        </is>
      </c>
      <c r="D23" s="3" t="inlineStr">
        <is>
          <t>05-UX-AND-DESIGN.md</t>
        </is>
      </c>
      <c r="E23" s="3" t="inlineStr">
        <is>
          <t>Not started</t>
        </is>
      </c>
    </row>
    <row r="24">
      <c r="A24" s="3" t="inlineStr">
        <is>
          <t>UX (UX)</t>
        </is>
      </c>
      <c r="B24" s="3" t="inlineStr">
        <is>
          <t>UX-003</t>
        </is>
      </c>
      <c r="C24" s="3" t="inlineStr">
        <is>
          <t>Command palette (⌘K) and global search page | M2 | M</t>
        </is>
      </c>
      <c r="D24" s="3" t="inlineStr">
        <is>
          <t>05-UX-AND-DESIGN.md</t>
        </is>
      </c>
      <c r="E24" s="3" t="inlineStr">
        <is>
          <t>Not started</t>
        </is>
      </c>
    </row>
    <row r="25">
      <c r="A25" s="3" t="inlineStr">
        <is>
          <t>UX (UX)</t>
        </is>
      </c>
      <c r="B25" s="3" t="inlineStr">
        <is>
          <t>UX-004</t>
        </is>
      </c>
      <c r="C25" s="3" t="inlineStr">
        <is>
          <t>Shared DataGrid: sort, filter builder, chips, columns, saved views, export, bulk preview, responsive cards | M2 | L</t>
        </is>
      </c>
      <c r="D25" s="3" t="inlineStr">
        <is>
          <t>05-UX-AND-DESIGN.md</t>
        </is>
      </c>
      <c r="E25" s="3" t="inlineStr">
        <is>
          <t>Not started</t>
        </is>
      </c>
    </row>
    <row r="26">
      <c r="A26" s="3" t="inlineStr">
        <is>
          <t>UX (UX)</t>
        </is>
      </c>
      <c r="B26" s="3" t="inlineStr">
        <is>
          <t>UX-005</t>
        </is>
      </c>
      <c r="C26" s="3" t="inlineStr">
        <is>
          <t>Empty/loading/error/no-permission state kit | M1 | S</t>
        </is>
      </c>
      <c r="D26" s="3" t="inlineStr">
        <is>
          <t>05-UX-AND-DESIGN.md</t>
        </is>
      </c>
      <c r="E26" s="3" t="inlineStr">
        <is>
          <t>Not started</t>
        </is>
      </c>
    </row>
    <row r="27">
      <c r="A27" s="3" t="inlineStr">
        <is>
          <t>UX (UX)</t>
        </is>
      </c>
      <c r="B27" s="3" t="inlineStr">
        <is>
          <t>UX-006</t>
        </is>
      </c>
      <c r="C27" s="3" t="inlineStr">
        <is>
          <t>Library and Process detail (incl. versions and semantic diff viewer) | M2 | L</t>
        </is>
      </c>
      <c r="D27" s="3" t="inlineStr">
        <is>
          <t>05-UX-AND-DESIGN.md</t>
        </is>
      </c>
      <c r="E27" s="3" t="inlineStr">
        <is>
          <t>Not started</t>
        </is>
      </c>
    </row>
    <row r="28">
      <c r="A28" s="3" t="inlineStr">
        <is>
          <t>UX (UX)</t>
        </is>
      </c>
      <c r="B28" s="3" t="inlineStr">
        <is>
          <t>UX-007</t>
        </is>
      </c>
      <c r="C28" s="3" t="inlineStr">
        <is>
          <t>SOP block editor, review mode, acknowledgement flow | M3 | L</t>
        </is>
      </c>
      <c r="D28" s="3" t="inlineStr">
        <is>
          <t>05-UX-AND-DESIGN.md</t>
        </is>
      </c>
      <c r="E28" s="3" t="inlineStr">
        <is>
          <t>Not started</t>
        </is>
      </c>
    </row>
    <row r="29">
      <c r="A29" s="3" t="inlineStr">
        <is>
          <t>UX (UX)</t>
        </is>
      </c>
      <c r="B29" s="3" t="inlineStr">
        <is>
          <t>UX-008</t>
        </is>
      </c>
      <c r="C29" s="3" t="inlineStr">
        <is>
          <t>Governance lifecycle chips, publish dialog, scheduled countdown | M3 | M</t>
        </is>
      </c>
      <c r="D29" s="3" t="inlineStr">
        <is>
          <t>05-UX-AND-DESIGN.md</t>
        </is>
      </c>
      <c r="E29" s="3" t="inlineStr">
        <is>
          <t>Not started</t>
        </is>
      </c>
    </row>
    <row r="30">
      <c r="A30" s="3" t="inlineStr">
        <is>
          <t>UX (UX)</t>
        </is>
      </c>
      <c r="B30" s="3" t="inlineStr">
        <is>
          <t>UX-009</t>
        </is>
      </c>
      <c r="C30" s="3" t="inlineStr">
        <is>
          <t>Designer: step builder + properties panel + validation problems panel | M4 | L</t>
        </is>
      </c>
      <c r="D30" s="3" t="inlineStr">
        <is>
          <t>05-UX-AND-DESIGN.md</t>
        </is>
      </c>
      <c r="E30" s="3" t="inlineStr">
        <is>
          <t>Not started</t>
        </is>
      </c>
    </row>
    <row r="31">
      <c r="A31" s="3" t="inlineStr">
        <is>
          <t>UX (UX)</t>
        </is>
      </c>
      <c r="B31" s="3" t="inlineStr">
        <is>
          <t>UX-010</t>
        </is>
      </c>
      <c r="C31" s="3" t="inlineStr">
        <is>
          <t>Designer: flow canvas view with keyboard and non-drag alternatives | M4 | L</t>
        </is>
      </c>
      <c r="D31" s="3" t="inlineStr">
        <is>
          <t>05-UX-AND-DESIGN.md</t>
        </is>
      </c>
      <c r="E31" s="3" t="inlineStr">
        <is>
          <t>Not started</t>
        </is>
      </c>
    </row>
    <row r="32">
      <c r="A32" s="3" t="inlineStr">
        <is>
          <t>UX (UX)</t>
        </is>
      </c>
      <c r="B32" s="3" t="inlineStr">
        <is>
          <t>UX-011</t>
        </is>
      </c>
      <c r="C32" s="3" t="inlineStr">
        <is>
          <t>Test run split view with act-as and trace | M4 | M</t>
        </is>
      </c>
      <c r="D32" s="3" t="inlineStr">
        <is>
          <t>05-UX-AND-DESIGN.md</t>
        </is>
      </c>
      <c r="E32" s="3" t="inlineStr">
        <is>
          <t>Not started</t>
        </is>
      </c>
    </row>
    <row r="33">
      <c r="A33" s="3" t="inlineStr">
        <is>
          <t>UX (UX)</t>
        </is>
      </c>
      <c r="B33" s="3" t="inlineStr">
        <is>
          <t>UX-012</t>
        </is>
      </c>
      <c r="C33" s="3" t="inlineStr">
        <is>
          <t>Form builder with classification and role preview | M4 | L</t>
        </is>
      </c>
      <c r="D33" s="3" t="inlineStr">
        <is>
          <t>05-UX-AND-DESIGN.md</t>
        </is>
      </c>
      <c r="E33" s="3" t="inlineStr">
        <is>
          <t>Not started</t>
        </is>
      </c>
    </row>
    <row r="34">
      <c r="A34" s="3" t="inlineStr">
        <is>
          <t>UX (UX)</t>
        </is>
      </c>
      <c r="B34" s="3" t="inlineStr">
        <is>
          <t>UX-013</t>
        </is>
      </c>
      <c r="C34" s="3" t="inlineStr">
        <is>
          <t>Template gallery and 4-step install wizard; upgrade 3-way diff (P1) | M3 / M8 | M</t>
        </is>
      </c>
      <c r="D34" s="3" t="inlineStr">
        <is>
          <t>05-UX-AND-DESIGN.md</t>
        </is>
      </c>
      <c r="E34" s="3" t="inlineStr">
        <is>
          <t>Not started</t>
        </is>
      </c>
    </row>
    <row r="35">
      <c r="A35" s="3" t="inlineStr">
        <is>
          <t>UX (UX)</t>
        </is>
      </c>
      <c r="B35" s="3" t="inlineStr">
        <is>
          <t>UX-014</t>
        </is>
      </c>
      <c r="C35" s="3" t="inlineStr">
        <is>
          <t>Start request with "what happens next" and undo window | M5 | M</t>
        </is>
      </c>
      <c r="D35" s="3" t="inlineStr">
        <is>
          <t>05-UX-AND-DESIGN.md</t>
        </is>
      </c>
      <c r="E35" s="3" t="inlineStr">
        <is>
          <t>Not started</t>
        </is>
      </c>
    </row>
    <row r="36">
      <c r="A36" s="3" t="inlineStr">
        <is>
          <t>UX (UX)</t>
        </is>
      </c>
      <c r="B36" s="3" t="inlineStr">
        <is>
          <t>UX-015</t>
        </is>
      </c>
      <c r="C36" s="3" t="inlineStr">
        <is>
          <t>Request detail with stepper, activity, history, files | M5 | M</t>
        </is>
      </c>
      <c r="D36" s="3" t="inlineStr">
        <is>
          <t>05-UX-AND-DESIGN.md</t>
        </is>
      </c>
      <c r="E36" s="3" t="inlineStr">
        <is>
          <t>Not started</t>
        </is>
      </c>
    </row>
    <row r="37">
      <c r="A37" s="3" t="inlineStr">
        <is>
          <t>UX (UX)</t>
        </is>
      </c>
      <c r="B37" s="3" t="inlineStr">
        <is>
          <t>UX-016</t>
        </is>
      </c>
      <c r="C37" s="3" t="inlineStr">
        <is>
          <t>My Work 3-pane inbox with keyboard triage, OOO, safe bulk approve | M5 | L</t>
        </is>
      </c>
      <c r="D37" s="3" t="inlineStr">
        <is>
          <t>05-UX-AND-DESIGN.md</t>
        </is>
      </c>
      <c r="E37" s="3" t="inlineStr">
        <is>
          <t>Not started</t>
        </is>
      </c>
    </row>
    <row r="38">
      <c r="A38" s="3" t="inlineStr">
        <is>
          <t>UX (UX)</t>
        </is>
      </c>
      <c r="B38" s="3" t="inlineStr">
        <is>
          <t>UX-017</t>
        </is>
      </c>
      <c r="C38" s="3" t="inlineStr">
        <is>
          <t>Admin Overview dashboard with drill-downs | M5 | M</t>
        </is>
      </c>
      <c r="D38" s="3" t="inlineStr">
        <is>
          <t>05-UX-AND-DESIGN.md</t>
        </is>
      </c>
      <c r="E38" s="3" t="inlineStr">
        <is>
          <t>Not started</t>
        </is>
      </c>
    </row>
    <row r="39">
      <c r="A39" s="3" t="inlineStr">
        <is>
          <t>UX (UX)</t>
        </is>
      </c>
      <c r="B39" s="3" t="inlineStr">
        <is>
          <t>UX-018</t>
        </is>
      </c>
      <c r="C39" s="3" t="inlineStr">
        <is>
          <t>Admin Members, Directory, Settings, Calendars | M2 | L</t>
        </is>
      </c>
      <c r="D39" s="3" t="inlineStr">
        <is>
          <t>05-UX-AND-DESIGN.md</t>
        </is>
      </c>
      <c r="E39" s="3" t="inlineStr">
        <is>
          <t>Not started</t>
        </is>
      </c>
    </row>
    <row r="40">
      <c r="A40" s="3" t="inlineStr">
        <is>
          <t>UX (UX)</t>
        </is>
      </c>
      <c r="B40" s="3" t="inlineStr">
        <is>
          <t>UX-019</t>
        </is>
      </c>
      <c r="C40" s="3" t="inlineStr">
        <is>
          <t>Roles editor: permission matrix, effect preview, step-up | M2 | M</t>
        </is>
      </c>
      <c r="D40" s="3" t="inlineStr">
        <is>
          <t>05-UX-AND-DESIGN.md</t>
        </is>
      </c>
      <c r="E40" s="3" t="inlineStr">
        <is>
          <t>Not started</t>
        </is>
      </c>
    </row>
    <row r="41">
      <c r="A41" s="3" t="inlineStr">
        <is>
          <t>UX (UX)</t>
        </is>
      </c>
      <c r="B41" s="3" t="inlineStr">
        <is>
          <t>UX-020</t>
        </is>
      </c>
      <c r="C41" s="3" t="inlineStr">
        <is>
          <t>Admin Requests (all), Workload, Process health, Ops monitor | M5 | L</t>
        </is>
      </c>
      <c r="D41" s="3" t="inlineStr">
        <is>
          <t>05-UX-AND-DESIGN.md</t>
        </is>
      </c>
      <c r="E41" s="3" t="inlineStr">
        <is>
          <t>Not started</t>
        </is>
      </c>
    </row>
    <row r="42">
      <c r="A42" s="3" t="inlineStr">
        <is>
          <t>UX (UX)</t>
        </is>
      </c>
      <c r="B42" s="3" t="inlineStr">
        <is>
          <t>UX-021</t>
        </is>
      </c>
      <c r="C42" s="3" t="inlineStr">
        <is>
          <t>Admin Files view, quota breakdown, quarantine tab | M5 | M</t>
        </is>
      </c>
      <c r="D42" s="3" t="inlineStr">
        <is>
          <t>05-UX-AND-DESIGN.md</t>
        </is>
      </c>
      <c r="E42" s="3" t="inlineStr">
        <is>
          <t>Not started</t>
        </is>
      </c>
    </row>
    <row r="43">
      <c r="A43" s="3" t="inlineStr">
        <is>
          <t>UX (UX)</t>
        </is>
      </c>
      <c r="B43" s="3" t="inlineStr">
        <is>
          <t>UX-022</t>
        </is>
      </c>
      <c r="C43" s="3" t="inlineStr">
        <is>
          <t>Audit explorer with timelines, diff view and chain badge | M3 | L</t>
        </is>
      </c>
      <c r="D43" s="3" t="inlineStr">
        <is>
          <t>05-UX-AND-DESIGN.md</t>
        </is>
      </c>
      <c r="E43" s="3" t="inlineStr">
        <is>
          <t>Not started</t>
        </is>
      </c>
    </row>
    <row r="44">
      <c r="A44" s="3" t="inlineStr">
        <is>
          <t>UX (UX)</t>
        </is>
      </c>
      <c r="B44" s="3" t="inlineStr">
        <is>
          <t>UX-023</t>
        </is>
      </c>
      <c r="C44" s="3" t="inlineStr">
        <is>
          <t>Investigations workspace with pin-to-investigation and signed export | M8 | M</t>
        </is>
      </c>
      <c r="D44" s="3" t="inlineStr">
        <is>
          <t>05-UX-AND-DESIGN.md</t>
        </is>
      </c>
      <c r="E44" s="3" t="inlineStr">
        <is>
          <t>Not started</t>
        </is>
      </c>
    </row>
    <row r="45">
      <c r="A45" s="3" t="inlineStr">
        <is>
          <t>UX (UX)</t>
        </is>
      </c>
      <c r="B45" s="3" t="inlineStr">
        <is>
          <t>UX-024</t>
        </is>
      </c>
      <c r="C45" s="3" t="inlineStr">
        <is>
          <t>Alert rules editor with preview, and alert inbox | M8 | M</t>
        </is>
      </c>
      <c r="D45" s="3" t="inlineStr">
        <is>
          <t>05-UX-AND-DESIGN.md</t>
        </is>
      </c>
      <c r="E45" s="3" t="inlineStr">
        <is>
          <t>Not started</t>
        </is>
      </c>
    </row>
    <row r="46">
      <c r="A46" s="3" t="inlineStr">
        <is>
          <t>UX (UX)</t>
        </is>
      </c>
      <c r="B46" s="3" t="inlineStr">
        <is>
          <t>UX-025</t>
        </is>
      </c>
      <c r="C46" s="3" t="inlineStr">
        <is>
          <t>System Admin console: workspaces, quotas, gallery management, health, system audit | M2 | L</t>
        </is>
      </c>
      <c r="D46" s="3" t="inlineStr">
        <is>
          <t>05-UX-AND-DESIGN.md</t>
        </is>
      </c>
      <c r="E46" s="3" t="inlineStr">
        <is>
          <t>Not started</t>
        </is>
      </c>
    </row>
    <row r="47">
      <c r="A47" s="3" t="inlineStr">
        <is>
          <t>UX (UX)</t>
        </is>
      </c>
      <c r="B47" s="3" t="inlineStr">
        <is>
          <t>UX-026</t>
        </is>
      </c>
      <c r="C47" s="3" t="inlineStr">
        <is>
          <t>Break-glass request/approval flow and banners | M8 | S</t>
        </is>
      </c>
      <c r="D47" s="3" t="inlineStr">
        <is>
          <t>05-UX-AND-DESIGN.md</t>
        </is>
      </c>
      <c r="E47" s="3" t="inlineStr">
        <is>
          <t>Not started</t>
        </is>
      </c>
    </row>
    <row r="48">
      <c r="A48" s="3" t="inlineStr">
        <is>
          <t>UX (UX)</t>
        </is>
      </c>
      <c r="B48" s="3" t="inlineStr">
        <is>
          <t>UX-027</t>
        </is>
      </c>
      <c r="C48" s="3" t="inlineStr">
        <is>
          <t>Cases board and case page with closure panel | M8 | L</t>
        </is>
      </c>
      <c r="D48" s="3" t="inlineStr">
        <is>
          <t>05-UX-AND-DESIGN.md</t>
        </is>
      </c>
      <c r="E48" s="3" t="inlineStr">
        <is>
          <t>Not started</t>
        </is>
      </c>
    </row>
    <row r="49">
      <c r="A49" s="3" t="inlineStr">
        <is>
          <t>UX (UX)</t>
        </is>
      </c>
      <c r="B49" s="3" t="inlineStr">
        <is>
          <t>UX-028</t>
        </is>
      </c>
      <c r="C49" s="3" t="inlineStr">
        <is>
          <t>Improve: standard reports and version compare | M6 | M</t>
        </is>
      </c>
      <c r="D49" s="3" t="inlineStr">
        <is>
          <t>05-UX-AND-DESIGN.md</t>
        </is>
      </c>
      <c r="E49" s="3" t="inlineStr">
        <is>
          <t>Not started</t>
        </is>
      </c>
    </row>
    <row r="50">
      <c r="A50" s="3" t="inlineStr">
        <is>
          <t>UX (UX)</t>
        </is>
      </c>
      <c r="B50" s="3" t="inlineStr">
        <is>
          <t>UX-029</t>
        </is>
      </c>
      <c r="C50" s="3" t="inlineStr">
        <is>
          <t>Notification centre, preferences matrix, email templates | M5 | M</t>
        </is>
      </c>
      <c r="D50" s="3" t="inlineStr">
        <is>
          <t>05-UX-AND-DESIGN.md</t>
        </is>
      </c>
      <c r="E50" s="3" t="inlineStr">
        <is>
          <t>Not started</t>
        </is>
      </c>
    </row>
    <row r="51">
      <c r="A51" s="3" t="inlineStr">
        <is>
          <t>UX (UX)</t>
        </is>
      </c>
      <c r="B51" s="3" t="inlineStr">
        <is>
          <t>UX-030</t>
        </is>
      </c>
      <c r="C51" s="3" t="inlineStr">
        <is>
          <t>Email-actionable approval confirm screen and web push (PWA) | M8 | M</t>
        </is>
      </c>
      <c r="D51" s="3" t="inlineStr">
        <is>
          <t>05-UX-AND-DESIGN.md</t>
        </is>
      </c>
      <c r="E51" s="3" t="inlineStr">
        <is>
          <t>Not started</t>
        </is>
      </c>
    </row>
    <row r="52">
      <c r="A52" s="3" t="inlineStr">
        <is>
          <t>UX (UX)</t>
        </is>
      </c>
      <c r="B52" s="3" t="inlineStr">
        <is>
          <t>UX-031</t>
        </is>
      </c>
      <c r="C52" s="3" t="inlineStr">
        <is>
          <t>Signature dialog (meaning, re-auth) and manifestation rendering | M8 | M</t>
        </is>
      </c>
      <c r="D52" s="3" t="inlineStr">
        <is>
          <t>05-UX-AND-DESIGN.md</t>
        </is>
      </c>
      <c r="E52" s="3" t="inlineStr">
        <is>
          <t>Not started</t>
        </is>
      </c>
    </row>
    <row r="53">
      <c r="A53" s="3" t="inlineStr">
        <is>
          <t>UX (UX)</t>
        </is>
      </c>
      <c r="B53" s="3" t="inlineStr">
        <is>
          <t>UX-032</t>
        </is>
      </c>
      <c r="C53" s="3" t="inlineStr">
        <is>
          <t>Mobile PWA pass: My Work, start, detail, acknowledge at 360 px | M6 | M</t>
        </is>
      </c>
      <c r="D53" s="3" t="inlineStr">
        <is>
          <t>05-UX-AND-DESIGN.md</t>
        </is>
      </c>
      <c r="E53" s="3" t="inlineStr">
        <is>
          <t>Not started</t>
        </is>
      </c>
    </row>
    <row r="54">
      <c r="A54" s="3" t="inlineStr">
        <is>
          <t>UX (UX)</t>
        </is>
      </c>
      <c r="B54" s="3" t="inlineStr">
        <is>
          <t>UX-033</t>
        </is>
      </c>
      <c r="C54" s="3" t="inlineStr">
        <is>
          <t>i18n pipeline, pseudo-localisation, RTL audit, terminology overrides | M6 | M</t>
        </is>
      </c>
      <c r="D54" s="3" t="inlineStr">
        <is>
          <t>05-UX-AND-DESIGN.md</t>
        </is>
      </c>
      <c r="E54" s="3" t="inlineStr">
        <is>
          <t>Not started</t>
        </is>
      </c>
    </row>
    <row r="55">
      <c r="A55" s="3" t="inlineStr">
        <is>
          <t>UX (UX)</t>
        </is>
      </c>
      <c r="B55" s="3" t="inlineStr">
        <is>
          <t>UX-034</t>
        </is>
      </c>
      <c r="C55" s="3" t="inlineStr">
        <is>
          <t>Accessibility: axe CI, SR passes per milestone, external audit, VPAT | M1→M10 | L</t>
        </is>
      </c>
      <c r="D55" s="3" t="inlineStr">
        <is>
          <t>05-UX-AND-DESIGN.md</t>
        </is>
      </c>
      <c r="E55" s="3" t="inlineStr">
        <is>
          <t>Not started</t>
        </is>
      </c>
    </row>
    <row r="56">
      <c r="A56" s="3" t="inlineStr">
        <is>
          <t>UX (UX)</t>
        </is>
      </c>
      <c r="B56" s="3" t="inlineStr">
        <is>
          <t>UX-035</t>
        </is>
      </c>
      <c r="C56" s="3" t="inlineStr">
        <is>
          <t>Usability research rounds 1–5 and SUS tracking | M1→M10 | M</t>
        </is>
      </c>
      <c r="D56" s="3" t="inlineStr">
        <is>
          <t>05-UX-AND-DESIGN.md</t>
        </is>
      </c>
      <c r="E56" s="3" t="inlineStr">
        <is>
          <t>Not started</t>
        </is>
      </c>
    </row>
    <row r="57">
      <c r="A57" s="3" t="inlineStr">
        <is>
          <t>UX (UX)</t>
        </is>
      </c>
      <c r="B57" s="3" t="inlineStr">
        <is>
          <t>UX-036</t>
        </is>
      </c>
      <c r="C57" s="3" t="inlineStr">
        <is>
          <t>Custom dashboard builder (P1) | M9 | L</t>
        </is>
      </c>
      <c r="D57" s="3" t="inlineStr">
        <is>
          <t>05-UX-AND-DESIGN.md</t>
        </is>
      </c>
      <c r="E57" s="3" t="inlineStr">
        <is>
          <t>Not started</t>
        </is>
      </c>
    </row>
    <row r="58">
      <c r="A58" s="3" t="inlineStr">
        <is>
          <t>UX (UX)</t>
        </is>
      </c>
      <c r="B58" s="3" t="inlineStr">
        <is>
          <t>UX-037</t>
        </is>
      </c>
      <c r="C58" s="3" t="inlineStr">
        <is>
          <t>Audience &amp; scale: startup first-run wizard (3 questions → templates → live), module toggles, progressive promotion of power features | M3 | M</t>
        </is>
      </c>
      <c r="D58" s="3" t="inlineStr">
        <is>
          <t>05-UX-AND-DESIGN.md</t>
        </is>
      </c>
      <c r="E58" s="3" t="inlineStr">
        <is>
          <t>Not started</t>
        </is>
      </c>
    </row>
    <row r="59">
      <c r="A59" s="3" t="inlineStr">
        <is>
          <t>UX (UX)</t>
        </is>
      </c>
      <c r="B59" s="3" t="inlineStr">
        <is>
          <t>UX-038</t>
        </is>
      </c>
      <c r="C59" s="3" t="inlineStr">
        <is>
          <t>Policies: library, document-like read view, authoring fields, applicability, public link, publish → campaign preview | M3 | L</t>
        </is>
      </c>
      <c r="D59" s="3" t="inlineStr">
        <is>
          <t>05-UX-AND-DESIGN.md</t>
        </is>
      </c>
      <c r="E59" s="3" t="inlineStr">
        <is>
          <t>Not started</t>
        </is>
      </c>
    </row>
    <row r="60">
      <c r="A60" s="3" t="inlineStr">
        <is>
          <t>UX (UX)</t>
        </is>
      </c>
      <c r="B60" s="3" t="inlineStr">
        <is>
          <t>UX-039</t>
        </is>
      </c>
      <c r="C60" s="3" t="inlineStr">
        <is>
          <t>Acknowledgement &amp; Signature campaign engine UX: employee Acknowledgements/Signatures sections in My Work; receipts; quiz | M5 | L</t>
        </is>
      </c>
      <c r="D60" s="3" t="inlineStr">
        <is>
          <t>05-UX-AND-DESIGN.md</t>
        </is>
      </c>
      <c r="E60" s="3" t="inlineStr">
        <is>
          <t>Not started</t>
        </is>
      </c>
    </row>
    <row r="61">
      <c r="A61" s="3" t="inlineStr">
        <is>
          <t>UX (UX)</t>
        </is>
      </c>
      <c r="B61" s="3" t="inlineStr">
        <is>
          <t>UX-040</t>
        </is>
      </c>
      <c r="C61" s="3" t="inlineStr">
        <is>
          <t>Campaign tracker: campaigns DataGrid, completion by department, remind/escalate/exempt, evidence export | M5 | M</t>
        </is>
      </c>
      <c r="D61" s="3" t="inlineStr">
        <is>
          <t>05-UX-AND-DESIGN.md</t>
        </is>
      </c>
      <c r="E61" s="3" t="inlineStr">
        <is>
          <t>Not started</t>
        </is>
      </c>
    </row>
    <row r="62">
      <c r="A62" s="3" t="inlineStr">
        <is>
          <t>UX (UX)</t>
        </is>
      </c>
      <c r="B62" s="3" t="inlineStr">
        <is>
          <t>UX-041</t>
        </is>
      </c>
      <c r="C62" s="3" t="inlineStr">
        <is>
          <t>Announcements: compose with audience targeting and reach count, schedule/expiry/pin, require-ack, reading-layout feed | M5 | M</t>
        </is>
      </c>
      <c r="D62" s="3" t="inlineStr">
        <is>
          <t>05-UX-AND-DESIGN.md</t>
        </is>
      </c>
      <c r="E62" s="3" t="inlineStr">
        <is>
          <t>Not started</t>
        </is>
      </c>
    </row>
    <row r="63">
      <c r="A63" s="3" t="inlineStr">
        <is>
          <t>UX (UX)</t>
        </is>
      </c>
      <c r="B63" s="3" t="inlineStr">
        <is>
          <t>UX-042</t>
        </is>
      </c>
      <c r="C63" s="3" t="inlineStr">
        <is>
          <t>Document signing: send flow (recipients, bulk, order), click-to-place field editor with keyboard positioning | M8 | L</t>
        </is>
      </c>
      <c r="D63" s="3" t="inlineStr">
        <is>
          <t>05-UX-AND-DESIGN.md</t>
        </is>
      </c>
      <c r="E63" s="3" t="inlineStr">
        <is>
          <t>Not started</t>
        </is>
      </c>
    </row>
    <row r="64">
      <c r="A64" s="3" t="inlineStr">
        <is>
          <t>UX (UX)</t>
        </is>
      </c>
      <c r="B64" s="3" t="inlineStr">
        <is>
          <t>UX-043</t>
        </is>
      </c>
      <c r="C64" s="3" t="inlineStr">
        <is>
          <t>Signing ceremony: mobile-first guided fields, adopt signature, Part 11 re-auth, decline, completion certificate view | M8 | L</t>
        </is>
      </c>
      <c r="D64" s="3" t="inlineStr">
        <is>
          <t>05-UX-AND-DESIGN.md</t>
        </is>
      </c>
      <c r="E64" s="3" t="inlineStr">
        <is>
          <t>Not started</t>
        </is>
      </c>
    </row>
    <row r="65">
      <c r="A65" s="3" t="inlineStr">
        <is>
          <t>UX (UX)</t>
        </is>
      </c>
      <c r="B65" s="3" t="inlineStr">
        <is>
          <t>UX-044</t>
        </is>
      </c>
      <c r="C65" s="3" t="inlineStr">
        <is>
          <t>Documents › Sent envelope tracking with per-recipient status, remind/void/resend | M8 | M</t>
        </is>
      </c>
      <c r="D65" s="3" t="inlineStr">
        <is>
          <t>05-UX-AND-DESIGN.md</t>
        </is>
      </c>
      <c r="E65" s="3" t="inlineStr">
        <is>
          <t>Not started</t>
        </is>
      </c>
    </row>
    <row r="66">
      <c r="A66" s="3" t="inlineStr">
        <is>
          <t>UX (UX)</t>
        </is>
      </c>
      <c r="B66" s="3" t="inlineStr">
        <is>
          <t>UX-045</t>
        </is>
      </c>
      <c r="C66" s="3" t="inlineStr">
        <is>
          <t>Visual language spec and anti-pattern review checklist in design review / PR template | M1 | S</t>
        </is>
      </c>
      <c r="D66" s="3" t="inlineStr">
        <is>
          <t>05-UX-AND-DESIGN.md</t>
        </is>
      </c>
      <c r="E66" s="3" t="inlineStr">
        <is>
          <t>Not started</t>
        </is>
      </c>
    </row>
    <row r="67">
      <c r="A67" s="3" t="inlineStr">
        <is>
          <t>UX (UX)</t>
        </is>
      </c>
      <c r="B67" s="3" t="inlineStr">
        <is>
          <t>UX-046</t>
        </is>
      </c>
      <c r="C67" s="3" t="inlineStr">
        <is>
          <t>Normative token package (type, spacing, targets, contrast, radius, elevation, motion) + CI lint banning raw values | M1 | M</t>
        </is>
      </c>
      <c r="D67" s="3" t="inlineStr">
        <is>
          <t>05-UX-AND-DESIGN.md</t>
        </is>
      </c>
      <c r="E67" s="3" t="inlineStr">
        <is>
          <t>Not started</t>
        </is>
      </c>
    </row>
    <row r="68">
      <c r="A68" s="3" t="inlineStr">
        <is>
          <t>UX (UX)</t>
        </is>
      </c>
      <c r="B68" s="3" t="inlineStr">
        <is>
          <t>UX-047</t>
        </is>
      </c>
      <c r="C68" s="3" t="inlineStr">
        <is>
          <t>Accent → accessible palette derivation with auto-adjust/reject and branding preview | M2 | M</t>
        </is>
      </c>
      <c r="D68" s="3" t="inlineStr">
        <is>
          <t>05-UX-AND-DESIGN.md</t>
        </is>
      </c>
      <c r="E68" s="3" t="inlineStr">
        <is>
          <t>Not started</t>
        </is>
      </c>
    </row>
    <row r="69">
      <c r="A69" s="3" t="inlineStr">
        <is>
          <t>UX (UX)</t>
        </is>
      </c>
      <c r="B69" s="3" t="inlineStr">
        <is>
          <t>UX-048</t>
        </is>
      </c>
      <c r="C69" s="3" t="inlineStr">
        <is>
          <t>Personal display preferences (text size 100–150%, density, theme, reduced motion, high contrast, underline links) | M3 | M</t>
        </is>
      </c>
      <c r="D69" s="3" t="inlineStr">
        <is>
          <t>05-UX-AND-DESIGN.md</t>
        </is>
      </c>
      <c r="E69" s="3" t="inlineStr">
        <is>
          <t>Not started</t>
        </is>
      </c>
    </row>
    <row r="70">
      <c r="A70" s="3" t="inlineStr">
        <is>
          <t>UX (UX)</t>
        </is>
      </c>
      <c r="B70" s="3" t="inlineStr">
        <is>
          <t>UX-049</t>
        </is>
      </c>
      <c r="C70" s="3" t="inlineStr">
        <is>
          <t>Environment conformance: 320px reflow, 200/400% zoom, forced-colors, prefers-contrast, print styles: automated visual tests | M3→M10 | M</t>
        </is>
      </c>
      <c r="D70" s="3" t="inlineStr">
        <is>
          <t>05-UX-AND-DESIGN.md</t>
        </is>
      </c>
      <c r="E70" s="3" t="inlineStr">
        <is>
          <t>Not started</t>
        </is>
      </c>
    </row>
    <row r="71">
      <c r="A71" s="3" t="inlineStr">
        <is>
          <t>Integrations (INT)</t>
        </is>
      </c>
      <c r="B71" s="3" t="inlineStr">
        <is>
          <t>INT-001</t>
        </is>
      </c>
      <c r="C71" s="3" t="inlineStr">
        <is>
          <t>OIDC SSO (any IdP; Keycloak is the reference) | IdentityProvider | P1 | Per-workspace config; auth code + PKCE; domain-verified auto-join; step-up via `max_age`/`acr_values`</t>
        </is>
      </c>
      <c r="D71" s="3" t="inlineStr">
        <is>
          <t>13-INTEGRATIONS.md</t>
        </is>
      </c>
      <c r="E71" s="3" t="inlineStr">
        <is>
          <t>Not started</t>
        </is>
      </c>
    </row>
    <row r="72">
      <c r="A72" s="3" t="inlineStr">
        <is>
          <t>Integrations (INT)</t>
        </is>
      </c>
      <c r="B72" s="3" t="inlineStr">
        <is>
          <t>INT-002</t>
        </is>
      </c>
      <c r="C72" s="3" t="inlineStr">
        <is>
          <t>SAML 2.0 via broker IdP | IdentityProvider | P1 | No in-process XML-DSig ([ADR-0011](adr/ADR-0011-authorization-engine.md))</t>
        </is>
      </c>
      <c r="D72" s="3" t="inlineStr">
        <is>
          <t>13-INTEGRATIONS.md</t>
        </is>
      </c>
      <c r="E72" s="3" t="inlineStr">
        <is>
          <t>Not started</t>
        </is>
      </c>
    </row>
    <row r="73">
      <c r="A73" s="3" t="inlineStr">
        <is>
          <t>Integrations (INT)</t>
        </is>
      </c>
      <c r="B73" s="3" t="inlineStr">
        <is>
          <t>INT-003</t>
        </is>
      </c>
      <c r="C73" s="3" t="inlineStr">
        <is>
          <t>SCIM 2.0 server (Users, Groups, enterprise `manager`) | DirectorySource | P1 | Own endpoints over the `scim_v2` types; per-workspace bearer token</t>
        </is>
      </c>
      <c r="D73" s="3" t="inlineStr">
        <is>
          <t>13-INTEGRATIONS.md</t>
        </is>
      </c>
      <c r="E73" s="3" t="inlineStr">
        <is>
          <t>Not started</t>
        </is>
      </c>
    </row>
    <row r="74">
      <c r="A74" s="3" t="inlineStr">
        <is>
          <t>Integrations (INT)</t>
        </is>
      </c>
      <c r="B74" s="3" t="inlineStr">
        <is>
          <t>INT-004</t>
        </is>
      </c>
      <c r="C74" s="3" t="inlineStr">
        <is>
          <t>Outbound webhooks | NotificationChannel | P1 | Standard Webhooks</t>
        </is>
      </c>
      <c r="D74" s="3" t="inlineStr">
        <is>
          <t>13-INTEGRATIONS.md</t>
        </is>
      </c>
      <c r="E74" s="3" t="inlineStr">
        <is>
          <t>Not started</t>
        </is>
      </c>
    </row>
    <row r="75">
      <c r="A75" s="3" t="inlineStr">
        <is>
          <t>Integrations (INT)</t>
        </is>
      </c>
      <c r="B75" s="3" t="inlineStr">
        <is>
          <t>INT-005</t>
        </is>
      </c>
      <c r="C75" s="3" t="inlineStr">
        <is>
          <t>Generic HTTP action | ConnectorAction | P1 | JSON in/out, templated body, typed error mapping</t>
        </is>
      </c>
      <c r="D75" s="3" t="inlineStr">
        <is>
          <t>13-INTEGRATIONS.md</t>
        </is>
      </c>
      <c r="E75" s="3" t="inlineStr">
        <is>
          <t>Not started</t>
        </is>
      </c>
    </row>
    <row r="76">
      <c r="A76" s="3" t="inlineStr">
        <is>
          <t>Integrations (INT)</t>
        </is>
      </c>
      <c r="B76" s="3" t="inlineStr">
        <is>
          <t>INT-006</t>
        </is>
      </c>
      <c r="C76" s="3" t="inlineStr">
        <is>
          <t>Inbound events API | InboundEvent | P1 | Start instance / signal correlation</t>
        </is>
      </c>
      <c r="D76" s="3" t="inlineStr">
        <is>
          <t>13-INTEGRATIONS.md</t>
        </is>
      </c>
      <c r="E76" s="3" t="inlineStr">
        <is>
          <t>Not started</t>
        </is>
      </c>
    </row>
    <row r="77">
      <c r="A77" s="3" t="inlineStr">
        <is>
          <t>Integrations (INT)</t>
        </is>
      </c>
      <c r="B77" s="3" t="inlineStr">
        <is>
          <t>INT-007</t>
        </is>
      </c>
      <c r="C77" s="3" t="inlineStr">
        <is>
          <t>iCal holiday/calendar feed import | (calendar import) | P1 | Read-only, scheduled refresh, creates a new calendar version</t>
        </is>
      </c>
      <c r="D77" s="3" t="inlineStr">
        <is>
          <t>13-INTEGRATIONS.md</t>
        </is>
      </c>
      <c r="E77" s="3" t="inlineStr">
        <is>
          <t>Not started</t>
        </is>
      </c>
    </row>
    <row r="78">
      <c r="A78" s="3" t="inlineStr">
        <is>
          <t>Integrations (INT)</t>
        </is>
      </c>
      <c r="B78" s="3" t="inlineStr">
        <is>
          <t>INT-008</t>
        </is>
      </c>
      <c r="C78" s="3" t="inlineStr">
        <is>
          <t>Web push (PWA) | NotificationChannel | P1 | VAPID; no content in payload, just "you have work" + deep link</t>
        </is>
      </c>
      <c r="D78" s="3" t="inlineStr">
        <is>
          <t>13-INTEGRATIONS.md</t>
        </is>
      </c>
      <c r="E78" s="3" t="inlineStr">
        <is>
          <t>Not started</t>
        </is>
      </c>
    </row>
    <row r="79">
      <c r="A79" s="3" t="inlineStr">
        <is>
          <t>Integrations (INT)</t>
        </is>
      </c>
      <c r="B79" s="3" t="inlineStr">
        <is>
          <t>INT-009</t>
        </is>
      </c>
      <c r="C79" s="3" t="inlineStr">
        <is>
          <t>Chat/host-platform connector framework (§4) | IdentityProvider, DirectorySource, NotificationChannel, embed | P2 | Shared contract for all chat platforms</t>
        </is>
      </c>
      <c r="D79" s="3" t="inlineStr">
        <is>
          <t>13-INTEGRATIONS.md</t>
        </is>
      </c>
      <c r="E79" s="3" t="inlineStr">
        <is>
          <t>Not started</t>
        </is>
      </c>
    </row>
    <row r="80">
      <c r="A80" s="3" t="inlineStr">
        <is>
          <t>Integrations (INT)</t>
        </is>
      </c>
      <c r="B80" s="3" t="inlineStr">
        <is>
          <t>INT-010</t>
        </is>
      </c>
      <c r="C80" s="3" t="inlineStr">
        <is>
          <t>Slack / Microsoft Teams-style chat cards | NotificationChannel (actionable) | P2 | Built on the §4 contract</t>
        </is>
      </c>
      <c r="D80" s="3" t="inlineStr">
        <is>
          <t>13-INTEGRATIONS.md</t>
        </is>
      </c>
      <c r="E80" s="3" t="inlineStr">
        <is>
          <t>Not started</t>
        </is>
      </c>
    </row>
    <row r="81">
      <c r="A81" s="3" t="inlineStr">
        <is>
          <t>Integrations (INT)</t>
        </is>
      </c>
      <c r="B81" s="3" t="inlineStr">
        <is>
          <t>INT-011</t>
        </is>
      </c>
      <c r="C81" s="3" t="inlineStr">
        <is>
          <t>Google Workspace / Microsoft 365 calendar &amp; mail | NotificationChannel, calendar | P2 | OOO detection → suggested substitution (never automatic)</t>
        </is>
      </c>
      <c r="D81" s="3" t="inlineStr">
        <is>
          <t>13-INTEGRATIONS.md</t>
        </is>
      </c>
      <c r="E81" s="3" t="inlineStr">
        <is>
          <t>Not started</t>
        </is>
      </c>
    </row>
    <row r="82">
      <c r="A82" s="3" t="inlineStr">
        <is>
          <t>Integrations (INT)</t>
        </is>
      </c>
      <c r="B82" s="3" t="inlineStr">
        <is>
          <t>INT-012</t>
        </is>
      </c>
      <c r="C82" s="3" t="inlineStr">
        <is>
          <t>HRIS: generic CSV/SFTP drop | DirectorySource | P2 | Scheduled, schema-mapped</t>
        </is>
      </c>
      <c r="D82" s="3" t="inlineStr">
        <is>
          <t>13-INTEGRATIONS.md</t>
        </is>
      </c>
      <c r="E82" s="3" t="inlineStr">
        <is>
          <t>Not started</t>
        </is>
      </c>
    </row>
    <row r="83">
      <c r="A83" s="3" t="inlineStr">
        <is>
          <t>Integrations (INT)</t>
        </is>
      </c>
      <c r="B83" s="3" t="inlineStr">
        <is>
          <t>INT-013</t>
        </is>
      </c>
      <c r="C83" s="3" t="inlineStr">
        <is>
          <t>HRIS via HTTP (BambooHR/Workday-style APIs) | DirectorySource, ConnectorAction | P2 | Manager links, hire/termination events → onboarding/offboarding templates</t>
        </is>
      </c>
      <c r="D83" s="3" t="inlineStr">
        <is>
          <t>13-INTEGRATIONS.md</t>
        </is>
      </c>
      <c r="E83" s="3" t="inlineStr">
        <is>
          <t>Not started</t>
        </is>
      </c>
    </row>
    <row r="84">
      <c r="A84" s="3" t="inlineStr">
        <is>
          <t>Integrations (INT)</t>
        </is>
      </c>
      <c r="B84" s="3" t="inlineStr">
        <is>
          <t>INT-014</t>
        </is>
      </c>
      <c r="C84" s="3" t="inlineStr">
        <is>
          <t>ERP/accounting via HTTP (PO creation, vendor master) | ConnectorAction | P2 | Hook points in `fin.*` templates</t>
        </is>
      </c>
      <c r="D84" s="3" t="inlineStr">
        <is>
          <t>13-INTEGRATIONS.md</t>
        </is>
      </c>
      <c r="E84" s="3" t="inlineStr">
        <is>
          <t>Not started</t>
        </is>
      </c>
    </row>
    <row r="85">
      <c r="A85" s="3" t="inlineStr">
        <is>
          <t>Integrations (INT)</t>
        </is>
      </c>
      <c r="B85" s="3" t="inlineStr">
        <is>
          <t>INT-015</t>
        </is>
      </c>
      <c r="C85" s="3" t="inlineStr">
        <is>
          <t>E-signature QTSP (CSC API v2, PAdES) | ConnectorAction | P2 | ESIG-09 QES path; plugs into the document e-signing module as signature type `qes` ([20 §2.16](20-WORKSPACE-CONFIGURATION.md))</t>
        </is>
      </c>
      <c r="D85" s="3" t="inlineStr">
        <is>
          <t>13-INTEGRATIONS.md</t>
        </is>
      </c>
      <c r="E85" s="3" t="inlineStr">
        <is>
          <t>Not started</t>
        </is>
      </c>
    </row>
    <row r="86">
      <c r="A86" s="3" t="inlineStr">
        <is>
          <t>Integrations (INT)</t>
        </is>
      </c>
      <c r="B86" s="3" t="inlineStr">
        <is>
          <t>INT-016</t>
        </is>
      </c>
      <c r="C86" s="3" t="inlineStr">
        <is>
          <t>OpenDoc / CasualOffice document engine | FileConverter | P2 | `.docx` SOP import → blocks, high-fidelity preview, DOCX export</t>
        </is>
      </c>
      <c r="D86" s="3" t="inlineStr">
        <is>
          <t>13-INTEGRATIONS.md</t>
        </is>
      </c>
      <c r="E86" s="3" t="inlineStr">
        <is>
          <t>Not started</t>
        </is>
      </c>
    </row>
    <row r="87">
      <c r="A87" s="3" t="inlineStr">
        <is>
          <t>Integrations (INT)</t>
        </is>
      </c>
      <c r="B87" s="3" t="inlineStr">
        <is>
          <t>INT-017</t>
        </is>
      </c>
      <c r="C87" s="3" t="inlineStr">
        <is>
          <t>SIEM streaming (syslog/CEF, JSON-HTTPS, OTel logs) | (audit stream) | P1/P2 | FR-T08</t>
        </is>
      </c>
      <c r="D87" s="3" t="inlineStr">
        <is>
          <t>13-INTEGRATIONS.md</t>
        </is>
      </c>
      <c r="E87" s="3" t="inlineStr">
        <is>
          <t>Not started</t>
        </is>
      </c>
    </row>
    <row r="88">
      <c r="A88" s="3" t="inlineStr">
        <is>
          <t>Integrations (INT)</t>
        </is>
      </c>
      <c r="B88" s="3" t="inlineStr">
        <is>
          <t>INT-018</t>
        </is>
      </c>
      <c r="C88" s="3" t="inlineStr">
        <is>
          <t>NATS JetStream / Kafka event bus | (bus adapter) | P2 | For large installs; outbox stays the source of truth</t>
        </is>
      </c>
      <c r="D88" s="3" t="inlineStr">
        <is>
          <t>13-INTEGRATIONS.md</t>
        </is>
      </c>
      <c r="E88" s="3" t="inlineStr">
        <is>
          <t>Not started</t>
        </is>
      </c>
    </row>
    <row r="89">
      <c r="A89" s="3" t="inlineStr">
        <is>
          <t>Integrations (INT)</t>
        </is>
      </c>
      <c r="B89" s="3" t="inlineStr">
        <is>
          <t>INT-019</t>
        </is>
      </c>
      <c r="C89" s="3" t="inlineStr">
        <is>
          <t>Third-party connector protocol v1 + SDK (Rust, TS) | ConnectorAction | P2 | Sandboxed containers</t>
        </is>
      </c>
      <c r="D89" s="3" t="inlineStr">
        <is>
          <t>13-INTEGRATIONS.md</t>
        </is>
      </c>
      <c r="E89" s="3" t="inlineStr">
        <is>
          <t>Not started</t>
        </is>
      </c>
    </row>
    <row r="90">
      <c r="A90" s="3" t="inlineStr">
        <is>
          <t>Integrations (INT)</t>
        </is>
      </c>
      <c r="B90" s="3" t="inlineStr">
        <is>
          <t>INT-020</t>
        </is>
      </c>
      <c r="C90" s="3" t="inlineStr">
        <is>
          <t>Template hook points (connectors mapped at install) | — | P2 | E.g. `hr.employee-onboarding` "provision accounts" step bound to HTTP/HRIS</t>
        </is>
      </c>
      <c r="D90" s="3" t="inlineStr">
        <is>
          <t>13-INTEGRATIONS.md</t>
        </is>
      </c>
      <c r="E90" s="3" t="inlineStr">
        <is>
          <t>Not started</t>
        </is>
      </c>
    </row>
    <row r="91">
      <c r="A91" s="3" t="inlineStr">
        <is>
          <t>Integrations (INT)</t>
        </is>
      </c>
      <c r="B91" s="3" t="inlineStr">
        <is>
          <t>INT-029</t>
        </is>
      </c>
      <c r="C91" s="3" t="inlineStr">
        <is>
          <t>Announcements &amp; campaign reminders to chat channels (Slack/Teams/other chat cards with Ack button → confirm + re-validate) | NotificationChannel (actionable) | P2 | Same card contract as approvals (§4.4); policy/e-sign acks needing step-up show Open only</t>
        </is>
      </c>
      <c r="D91" s="3" t="inlineStr">
        <is>
          <t>13-INTEGRATIONS.md</t>
        </is>
      </c>
      <c r="E91" s="3" t="inlineStr">
        <is>
          <t>Not started</t>
        </is>
      </c>
    </row>
    <row r="92">
      <c r="A92" s="3" t="inlineStr">
        <is>
          <t>Integrations (INT)</t>
        </is>
      </c>
      <c r="B92" s="3" t="inlineStr">
        <is>
          <t>INT-030</t>
        </is>
      </c>
      <c r="C92" s="3" t="inlineStr">
        <is>
          <t>HRIS joiner events → `policies.attest_on_join` campaign enrolment | DirectorySource | P2 | Standalone path uses member-created event</t>
        </is>
      </c>
      <c r="D92" s="3" t="inlineStr">
        <is>
          <t>13-INTEGRATIONS.md</t>
        </is>
      </c>
      <c r="E92" s="3" t="inlineStr">
        <is>
          <t>Not started</t>
        </is>
      </c>
    </row>
    <row r="93">
      <c r="A93" s="3" t="inlineStr">
        <is>
          <t>Integrations (INT)</t>
        </is>
      </c>
      <c r="B93" s="3" t="inlineStr">
        <is>
          <t>INT-021</t>
        </is>
      </c>
      <c r="C93" s="3" t="inlineStr">
        <is>
          <t>Port traits + in-process built-in adapters (SMTP, in-app, local directory, local auth) | P0 | M | Outbox (EXEC)</t>
        </is>
      </c>
      <c r="D93" s="3" t="inlineStr">
        <is>
          <t>13-INTEGRATIONS.md</t>
        </is>
      </c>
      <c r="E93" s="3" t="inlineStr">
        <is>
          <t>Not started</t>
        </is>
      </c>
    </row>
    <row r="94">
      <c r="A94" s="3" t="inlineStr">
        <is>
          <t>Integrations (INT)</t>
        </is>
      </c>
      <c r="B94" s="3" t="inlineStr">
        <is>
          <t>INT-022</t>
        </is>
      </c>
      <c r="C94" s="3" t="inlineStr">
        <is>
          <t>Outbox dispatcher with leases, per-instance ordering, retries, DLQ, incidents | P0 | L | Runtime core</t>
        </is>
      </c>
      <c r="D94" s="3" t="inlineStr">
        <is>
          <t>13-INTEGRATIONS.md</t>
        </is>
      </c>
      <c r="E94" s="3" t="inlineStr">
        <is>
          <t>Not started</t>
        </is>
      </c>
    </row>
    <row r="95">
      <c r="A95" s="3" t="inlineStr">
        <is>
          <t>Integrations (INT)</t>
        </is>
      </c>
      <c r="B95" s="3" t="inlineStr">
        <is>
          <t>INT-023</t>
        </is>
      </c>
      <c r="C95" s="3" t="inlineStr">
        <is>
          <t>SMTP adapter with localised templates, bounce handling (VERP/webhook optional) | P0 | M | INT-021</t>
        </is>
      </c>
      <c r="D95" s="3" t="inlineStr">
        <is>
          <t>13-INTEGRATIONS.md</t>
        </is>
      </c>
      <c r="E95" s="3" t="inlineStr">
        <is>
          <t>Not started</t>
        </is>
      </c>
    </row>
    <row r="96">
      <c r="A96" s="3" t="inlineStr">
        <is>
          <t>Integrations (INT)</t>
        </is>
      </c>
      <c r="B96" s="3" t="inlineStr">
        <is>
          <t>INT-024</t>
        </is>
      </c>
      <c r="C96" s="3" t="inlineStr">
        <is>
          <t>Connector manifest schema + registry + platform allowlist + workspace enablement UI | P1 | M | Config (CFG)</t>
        </is>
      </c>
      <c r="D96" s="3" t="inlineStr">
        <is>
          <t>13-INTEGRATIONS.md</t>
        </is>
      </c>
      <c r="E96" s="3" t="inlineStr">
        <is>
          <t>Not started</t>
        </is>
      </c>
    </row>
    <row r="97">
      <c r="A97" s="3" t="inlineStr">
        <is>
          <t>Integrations (INT)</t>
        </is>
      </c>
      <c r="B97" s="3" t="inlineStr">
        <is>
          <t>INT-025</t>
        </is>
      </c>
      <c r="C97" s="3" t="inlineStr">
        <is>
          <t>Connector-runner process + egress proxy + SSRF test suite | P1 | L | INT-024</t>
        </is>
      </c>
      <c r="D97" s="3" t="inlineStr">
        <is>
          <t>13-INTEGRATIONS.md</t>
        </is>
      </c>
      <c r="E97" s="3" t="inlineStr">
        <is>
          <t>Not started</t>
        </is>
      </c>
    </row>
    <row r="98">
      <c r="A98" s="3" t="inlineStr">
        <is>
          <t>Integrations (INT)</t>
        </is>
      </c>
      <c r="B98" s="3" t="inlineStr">
        <is>
          <t>INT-026</t>
        </is>
      </c>
      <c r="C98" s="3" t="inlineStr">
        <is>
          <t>Secret store abstraction (DB envelope-encrypted default; Vault/KMS adapters) | P1 | M | Key hierarchy</t>
        </is>
      </c>
      <c r="D98" s="3" t="inlineStr">
        <is>
          <t>13-INTEGRATIONS.md</t>
        </is>
      </c>
      <c r="E98" s="3" t="inlineStr">
        <is>
          <t>Not started</t>
        </is>
      </c>
    </row>
    <row r="99">
      <c r="A99" s="3" t="inlineStr">
        <is>
          <t>Integrations (INT)</t>
        </is>
      </c>
      <c r="B99" s="3" t="inlineStr">
        <is>
          <t>INT-001…008</t>
        </is>
      </c>
      <c r="C99" s="3" t="inlineStr">
        <is>
          <t>P1 catalogue items (§3) | P1 | S–L each | INT-024/025</t>
        </is>
      </c>
      <c r="D99" s="3" t="inlineStr">
        <is>
          <t>13-INTEGRATIONS.md</t>
        </is>
      </c>
      <c r="E99" s="3" t="inlineStr">
        <is>
          <t>Not started</t>
        </is>
      </c>
    </row>
    <row r="100">
      <c r="A100" s="3" t="inlineStr">
        <is>
          <t>Integrations (INT)</t>
        </is>
      </c>
      <c r="B100" s="3" t="inlineStr">
        <is>
          <t>INT-009…020</t>
        </is>
      </c>
      <c r="C100" s="3" t="inlineStr">
        <is>
          <t>P2 catalogue items (§3) | P2 | M–L each | Pilot feedback; OQ-M answers</t>
        </is>
      </c>
      <c r="D100" s="3" t="inlineStr">
        <is>
          <t>13-INTEGRATIONS.md</t>
        </is>
      </c>
      <c r="E100" s="3" t="inlineStr">
        <is>
          <t>Not started</t>
        </is>
      </c>
    </row>
    <row r="101">
      <c r="A101" s="3" t="inlineStr">
        <is>
          <t>Integrations (INT)</t>
        </is>
      </c>
      <c r="B101" s="3" t="inlineStr">
        <is>
          <t>INT-027</t>
        </is>
      </c>
      <c r="C101" s="3" t="inlineStr">
        <is>
          <t>OpenAPI generation + oasdiff CI gate + SDK generation pipeline | P0 (spec) / P1 (SDKs) | M | API skeleton</t>
        </is>
      </c>
      <c r="D101" s="3" t="inlineStr">
        <is>
          <t>13-INTEGRATIONS.md</t>
        </is>
      </c>
      <c r="E101" s="3" t="inlineStr">
        <is>
          <t>Not started</t>
        </is>
      </c>
    </row>
    <row r="102">
      <c r="A102" s="3" t="inlineStr">
        <is>
          <t>Integrations (INT)</t>
        </is>
      </c>
      <c r="B102" s="3" t="inlineStr">
        <is>
          <t>INT-028</t>
        </is>
      </c>
      <c r="C102" s="3" t="inlineStr">
        <is>
          <t>`procera` CLI (auth, import/export, test-run, verify) | P1 | M | INT-027, FR-W12</t>
        </is>
      </c>
      <c r="D102" s="3" t="inlineStr">
        <is>
          <t>13-INTEGRATIONS.md</t>
        </is>
      </c>
      <c r="E102" s="3" t="inlineStr">
        <is>
          <t>Not started</t>
        </is>
      </c>
    </row>
    <row r="103">
      <c r="A103" s="3" t="inlineStr">
        <is>
          <t>Config (CFG)</t>
        </is>
      </c>
      <c r="B103" s="3" t="inlineStr">
        <is>
          <t>CFG-001</t>
        </is>
      </c>
      <c r="C103" s="3" t="inlineStr">
        <is>
          <t>Settings catalogue framework in code (schema, comparator, floor, scopes, perms) + generated docs | P0 | M | —</t>
        </is>
      </c>
      <c r="D103" s="3" t="inlineStr">
        <is>
          <t>20-WORKSPACE-CONFIGURATION.md</t>
        </is>
      </c>
      <c r="E103" s="3" t="inlineStr">
        <is>
          <t>Not started</t>
        </is>
      </c>
    </row>
    <row r="104">
      <c r="A104" s="3" t="inlineStr">
        <is>
          <t>Config (CFG)</t>
        </is>
      </c>
      <c r="B104" s="3" t="inlineStr">
        <is>
          <t>CFG-002</t>
        </is>
      </c>
      <c r="C104" s="3" t="inlineStr">
        <is>
          <t>Settings storage, revisions, RLS, effective-resolution engine + property tests (never looser than floor) | P0 | M | CFG-001</t>
        </is>
      </c>
      <c r="D104" s="3" t="inlineStr">
        <is>
          <t>20-WORKSPACE-CONFIGURATION.md</t>
        </is>
      </c>
      <c r="E104" s="3" t="inlineStr">
        <is>
          <t>Not started</t>
        </is>
      </c>
    </row>
    <row r="105">
      <c r="A105" s="3" t="inlineStr">
        <is>
          <t>Config (CFG)</t>
        </is>
      </c>
      <c r="B105" s="3" t="inlineStr">
        <is>
          <t>CFG-003</t>
        </is>
      </c>
      <c r="C105" s="3" t="inlineStr">
        <is>
          <t>Effective-settings explainer API + UI | P0 | S | CFG-002</t>
        </is>
      </c>
      <c r="D105" s="3" t="inlineStr">
        <is>
          <t>20-WORKSPACE-CONFIGURATION.md</t>
        </is>
      </c>
      <c r="E105" s="3" t="inlineStr">
        <is>
          <t>Not started</t>
        </is>
      </c>
    </row>
    <row r="106">
      <c r="A106" s="3" t="inlineStr">
        <is>
          <t>Config (CFG)</t>
        </is>
      </c>
      <c r="B106" s="3" t="inlineStr">
        <is>
          <t>CFG-004</t>
        </is>
      </c>
      <c r="C106" s="3" t="inlineStr">
        <is>
          <t>Cache + outbox invalidation; ⚡ key direct-read paths | P0 | S | CFG-002, outbox</t>
        </is>
      </c>
      <c r="D106" s="3" t="inlineStr">
        <is>
          <t>20-WORKSPACE-CONFIGURATION.md</t>
        </is>
      </c>
      <c r="E106" s="3" t="inlineStr">
        <is>
          <t>Not started</t>
        </is>
      </c>
    </row>
    <row r="107">
      <c r="A107" s="3" t="inlineStr">
        <is>
          <t>Config (CFG)</t>
        </is>
      </c>
      <c r="B107" s="3" t="inlineStr">
        <is>
          <t>CFG-005</t>
        </is>
      </c>
      <c r="C107" s="3" t="inlineStr">
        <is>
          <t>Workspace admin settings UI (auto-generated forms grouped per §2, search across settings) | P0 | L | CFG-001</t>
        </is>
      </c>
      <c r="D107" s="3" t="inlineStr">
        <is>
          <t>20-WORKSPACE-CONFIGURATION.md</t>
        </is>
      </c>
      <c r="E107" s="3" t="inlineStr">
        <is>
          <t>Not started</t>
        </is>
      </c>
    </row>
    <row r="108">
      <c r="A108" s="3" t="inlineStr">
        <is>
          <t>Config (CFG)</t>
        </is>
      </c>
      <c r="B108" s="3" t="inlineStr">
        <is>
          <t>CFG-006</t>
        </is>
      </c>
      <c r="C108" s="3" t="inlineStr">
        <is>
          <t>System Admin console: workspace lifecycle, plans/quotas, policy floors, email/storage/scan config | P0 | L | CFG-002</t>
        </is>
      </c>
      <c r="D108" s="3" t="inlineStr">
        <is>
          <t>20-WORKSPACE-CONFIGURATION.md</t>
        </is>
      </c>
      <c r="E108" s="3" t="inlineStr">
        <is>
          <t>Not started</t>
        </is>
      </c>
    </row>
    <row r="109">
      <c r="A109" s="3" t="inlineStr">
        <is>
          <t>Config (CFG)</t>
        </is>
      </c>
      <c r="B109" s="3" t="inlineStr">
        <is>
          <t>CFG-007</t>
        </is>
      </c>
      <c r="C109" s="3" t="inlineStr">
        <is>
          <t>Branding pipeline (logo sanitization, accent contrast derivation, email theming) | P0 | M | CFG-005</t>
        </is>
      </c>
      <c r="D109" s="3" t="inlineStr">
        <is>
          <t>20-WORKSPACE-CONFIGURATION.md</t>
        </is>
      </c>
      <c r="E109" s="3" t="inlineStr">
        <is>
          <t>Not started</t>
        </is>
      </c>
    </row>
    <row r="110">
      <c r="A110" s="3" t="inlineStr">
        <is>
          <t>Config (CFG)</t>
        </is>
      </c>
      <c r="B110" s="3" t="inlineStr">
        <is>
          <t>CFG-008</t>
        </is>
      </c>
      <c r="C110" s="3" t="inlineStr">
        <is>
          <t>Terminology overrides across UI/email/export (i18n layer integration) | P0 | M | i18n framework</t>
        </is>
      </c>
      <c r="D110" s="3" t="inlineStr">
        <is>
          <t>20-WORKSPACE-CONFIGURATION.md</t>
        </is>
      </c>
      <c r="E110" s="3" t="inlineStr">
        <is>
          <t>Not started</t>
        </is>
      </c>
    </row>
    <row r="111">
      <c r="A111" s="3" t="inlineStr">
        <is>
          <t>Config (CFG)</t>
        </is>
      </c>
      <c r="B111" s="3" t="inlineStr">
        <is>
          <t>CFG-009</t>
        </is>
      </c>
      <c r="C111" s="3" t="inlineStr">
        <is>
          <t>Calendars &amp; holiday sets with versions; iCal import (P1) | P0 | M | CFG-002</t>
        </is>
      </c>
      <c r="D111" s="3" t="inlineStr">
        <is>
          <t>20-WORKSPACE-CONFIGURATION.md</t>
        </is>
      </c>
      <c r="E111" s="3" t="inlineStr">
        <is>
          <t>Not started</t>
        </is>
      </c>
    </row>
    <row r="112">
      <c r="A112" s="3" t="inlineStr">
        <is>
          <t>Config (CFG)</t>
        </is>
      </c>
      <c r="B112" s="3" t="inlineStr">
        <is>
          <t>CFG-010</t>
        </is>
      </c>
      <c r="C112" s="3" t="inlineStr">
        <is>
          <t>Custom roles editor with permission catalogue picker, scope, preview-of-effect, step-up | P0 | L | AuthZ engine</t>
        </is>
      </c>
      <c r="D112" s="3" t="inlineStr">
        <is>
          <t>20-WORKSPACE-CONFIGURATION.md</t>
        </is>
      </c>
      <c r="E112" s="3" t="inlineStr">
        <is>
          <t>Not started</t>
        </is>
      </c>
    </row>
    <row r="113">
      <c r="A113" s="3" t="inlineStr">
        <is>
          <t>Config (CFG)</t>
        </is>
      </c>
      <c r="B113" s="3" t="inlineStr">
        <is>
          <t>CFG-011</t>
        </is>
      </c>
      <c r="C113" s="3" t="inlineStr">
        <is>
          <t>Settings history + restore UI | P1 | S | CFG-002</t>
        </is>
      </c>
      <c r="D113" s="3" t="inlineStr">
        <is>
          <t>20-WORKSPACE-CONFIGURATION.md</t>
        </is>
      </c>
      <c r="E113" s="3" t="inlineStr">
        <is>
          <t>Not started</t>
        </is>
      </c>
    </row>
    <row r="114">
      <c r="A114" s="3" t="inlineStr">
        <is>
          <t>Config (CFG)</t>
        </is>
      </c>
      <c r="B114" s="3" t="inlineStr">
        <is>
          <t>CFG-012</t>
        </is>
      </c>
      <c r="C114" s="3" t="inlineStr">
        <is>
          <t>Two-person rule for ⚡/roles/retention changes | P1 | M | Governance review engine</t>
        </is>
      </c>
      <c r="D114" s="3" t="inlineStr">
        <is>
          <t>20-WORKSPACE-CONFIGURATION.md</t>
        </is>
      </c>
      <c r="E114" s="3" t="inlineStr">
        <is>
          <t>Not started</t>
        </is>
      </c>
    </row>
    <row r="115">
      <c r="A115" s="3" t="inlineStr">
        <is>
          <t>Config (CFG)</t>
        </is>
      </c>
      <c r="B115" s="3" t="inlineStr">
        <is>
          <t>CFG-013</t>
        </is>
      </c>
      <c r="C115" s="3" t="inlineStr">
        <is>
          <t>Config-as-code export/import (schema, plan/apply, migrations, secret placeholders) | P1 | M | CFG-002</t>
        </is>
      </c>
      <c r="D115" s="3" t="inlineStr">
        <is>
          <t>20-WORKSPACE-CONFIGURATION.md</t>
        </is>
      </c>
      <c r="E115" s="3" t="inlineStr">
        <is>
          <t>Not started</t>
        </is>
      </c>
    </row>
    <row r="116">
      <c r="A116" s="3" t="inlineStr">
        <is>
          <t>Config (CFG)</t>
        </is>
      </c>
      <c r="B116" s="3" t="inlineStr">
        <is>
          <t>CFG-014</t>
        </is>
      </c>
      <c r="C116" s="3" t="inlineStr">
        <is>
          <t>Sandbox workspace clone (config only) + promotion via CLI | P1 | M | CFG-013, INT-028</t>
        </is>
      </c>
      <c r="D116" s="3" t="inlineStr">
        <is>
          <t>20-WORKSPACE-CONFIGURATION.md</t>
        </is>
      </c>
      <c r="E116" s="3" t="inlineStr">
        <is>
          <t>Not started</t>
        </is>
      </c>
    </row>
    <row r="117">
      <c r="A117" s="3" t="inlineStr">
        <is>
          <t>Config (CFG)</t>
        </is>
      </c>
      <c r="B117" s="3" t="inlineStr">
        <is>
          <t>CFG-015</t>
        </is>
      </c>
      <c r="C117" s="3" t="inlineStr">
        <is>
          <t>Floor-raise clamp job + admin notifications | P0 | S | CFG-002</t>
        </is>
      </c>
      <c r="D117" s="3" t="inlineStr">
        <is>
          <t>20-WORKSPACE-CONFIGURATION.md</t>
        </is>
      </c>
      <c r="E117" s="3" t="inlineStr">
        <is>
          <t>Not started</t>
        </is>
      </c>
    </row>
    <row r="118">
      <c r="A118" s="3" t="inlineStr">
        <is>
          <t>Config (CFG)</t>
        </is>
      </c>
      <c r="B118" s="3" t="inlineStr">
        <is>
          <t>CFG-016</t>
        </is>
      </c>
      <c r="C118" s="3" t="inlineStr">
        <is>
          <t>Separation mode toggle with 24 h notice + permission remap | P1 | M | CFG-010</t>
        </is>
      </c>
      <c r="D118" s="3" t="inlineStr">
        <is>
          <t>20-WORKSPACE-CONFIGURATION.md</t>
        </is>
      </c>
      <c r="E118" s="3" t="inlineStr">
        <is>
          <t>Not started</t>
        </is>
      </c>
    </row>
    <row r="119">
      <c r="A119" s="3" t="inlineStr">
        <is>
          <t>Config (CFG)</t>
        </is>
      </c>
      <c r="B119" s="3" t="inlineStr">
        <is>
          <t>CFG-017</t>
        </is>
      </c>
      <c r="C119" s="3" t="inlineStr">
        <is>
          <t>Configuration profiles (4 presets as schema-validated JSON), pick-at-creation, profile switch via plan/apply | P0 | M | CFG-013 (plan/apply core pulled into P0)</t>
        </is>
      </c>
      <c r="D119" s="3" t="inlineStr">
        <is>
          <t>20-WORKSPACE-CONFIGURATION.md</t>
        </is>
      </c>
      <c r="E119" s="3" t="inlineStr">
        <is>
          <t>Not started</t>
        </is>
      </c>
    </row>
    <row r="120">
      <c r="A120" s="3" t="inlineStr">
        <is>
          <t>Config (CFG)</t>
        </is>
      </c>
      <c r="B120" s="3" t="inlineStr">
        <is>
          <t>CFG-018</t>
        </is>
      </c>
      <c r="C120" s="3" t="inlineStr">
        <is>
          <t>Custom platform profiles (clone/edit) in System Admin console | P1 | S | CFG-017</t>
        </is>
      </c>
      <c r="D120" s="3" t="inlineStr">
        <is>
          <t>20-WORKSPACE-CONFIGURATION.md</t>
        </is>
      </c>
      <c r="E120" s="3" t="inlineStr">
        <is>
          <t>Not started</t>
        </is>
      </c>
    </row>
    <row r="121">
      <c r="A121" s="3" t="inlineStr">
        <is>
          <t>Config (CFG)</t>
        </is>
      </c>
      <c r="B121" s="3" t="inlineStr">
        <is>
          <t>CFG-019</t>
        </is>
      </c>
      <c r="C121" s="3" t="inlineStr">
        <is>
          <t>Delegated (department/collection-scoped) admin: scoped override editing + guard against ⚡ keys | P1 | M | CFG-010</t>
        </is>
      </c>
      <c r="D121" s="3" t="inlineStr">
        <is>
          <t>20-WORKSPACE-CONFIGURATION.md</t>
        </is>
      </c>
      <c r="E121" s="3" t="inlineStr">
        <is>
          <t>Not started</t>
        </is>
      </c>
    </row>
    <row r="122">
      <c r="A122" s="3" t="inlineStr">
        <is>
          <t>Config (CFG)</t>
        </is>
      </c>
      <c r="B122" s="3" t="inlineStr">
        <is>
          <t>CFG-020</t>
        </is>
      </c>
      <c r="C122" s="3" t="inlineStr">
        <is>
          <t>Acknowledgement &amp; Signature Campaign engine: campaign model, audience resolution (snapshot/dynamic), reminders, manager escalation, exemptions, evidence export | P0 | L | Directory, notifications</t>
        </is>
      </c>
      <c r="D122" s="3" t="inlineStr">
        <is>
          <t>20-WORKSPACE-CONFIGURATION.md</t>
        </is>
      </c>
      <c r="E122" s="3" t="inlineStr">
        <is>
          <t>Not started</t>
        </is>
      </c>
    </row>
    <row r="123">
      <c r="A123" s="3" t="inlineStr">
        <is>
          <t>Config (CFG)</t>
        </is>
      </c>
      <c r="B123" s="3" t="inlineStr">
        <is>
          <t>CFG-021</t>
        </is>
      </c>
      <c r="C123" s="3" t="inlineStr">
        <is>
          <t>Campaign settings group (§2.14) + per-module defaults wiring | P0 | S | CFG-020</t>
        </is>
      </c>
      <c r="D123" s="3" t="inlineStr">
        <is>
          <t>20-WORKSPACE-CONFIGURATION.md</t>
        </is>
      </c>
      <c r="E123" s="3" t="inlineStr">
        <is>
          <t>Not started</t>
        </is>
      </c>
    </row>
    <row r="124">
      <c r="A124" s="3" t="inlineStr">
        <is>
          <t>Config (CFG)</t>
        </is>
      </c>
      <c r="B124" s="3" t="inlineStr">
        <is>
          <t>CFG-022</t>
        </is>
      </c>
      <c r="C124" s="3" t="inlineStr">
        <is>
          <t>Read-time / scroll-to-end and quiz support in campaigns | P1 | M | CFG-020</t>
        </is>
      </c>
      <c r="D124" s="3" t="inlineStr">
        <is>
          <t>20-WORKSPACE-CONFIGURATION.md</t>
        </is>
      </c>
      <c r="E124" s="3" t="inlineStr">
        <is>
          <t>Not started</t>
        </is>
      </c>
    </row>
    <row r="125">
      <c r="A125" s="3" t="inlineStr">
        <is>
          <t>Config (CFG)</t>
        </is>
      </c>
      <c r="B125" s="3" t="inlineStr">
        <is>
          <t>CFG-023</t>
        </is>
      </c>
      <c r="C125" s="3" t="inlineStr">
        <is>
          <t>Policies module settings (§2.15) incl. attest-on-join and public read view (sanitized, read-only, rate-limited) | P0/P1 | M | CFG-020, governance lifecycle</t>
        </is>
      </c>
      <c r="D125" s="3" t="inlineStr">
        <is>
          <t>20-WORKSPACE-CONFIGURATION.md</t>
        </is>
      </c>
      <c r="E125" s="3" t="inlineStr">
        <is>
          <t>Not started</t>
        </is>
      </c>
    </row>
    <row r="126">
      <c r="A126" s="3" t="inlineStr">
        <is>
          <t>Config (CFG)</t>
        </is>
      </c>
      <c r="B126" s="3" t="inlineStr">
        <is>
          <t>CFG-024</t>
        </is>
      </c>
      <c r="C126" s="3" t="inlineStr">
        <is>
          <t>E-signing settings (§2.16): signature types, external signers (email OTP), order, expiry, certificate branding, PAdES sealing, retention class | P1 | L | CFG-020, signatures (14 §3)</t>
        </is>
      </c>
      <c r="D126" s="3" t="inlineStr">
        <is>
          <t>20-WORKSPACE-CONFIGURATION.md</t>
        </is>
      </c>
      <c r="E126" s="3" t="inlineStr">
        <is>
          <t>Not started</t>
        </is>
      </c>
    </row>
    <row r="127">
      <c r="A127" s="3" t="inlineStr">
        <is>
          <t>Config (CFG)</t>
        </is>
      </c>
      <c r="B127" s="3" t="inlineStr">
        <is>
          <t>CFG-025</t>
        </is>
      </c>
      <c r="C127" s="3" t="inlineStr">
        <is>
          <t>Announcements settings (§2.17): posters by role/scope, approval, audience, ack + manager escalation, expiry, comments moderation | P1 | M | CFG-020</t>
        </is>
      </c>
      <c r="D127" s="3" t="inlineStr">
        <is>
          <t>20-WORKSPACE-CONFIGURATION.md</t>
        </is>
      </c>
      <c r="E127" s="3" t="inlineStr">
        <is>
          <t>Not started</t>
        </is>
      </c>
    </row>
    <row r="128">
      <c r="A128" s="3" t="inlineStr">
        <is>
          <t>AI (AI)</t>
        </is>
      </c>
      <c r="B128" s="3" t="inlineStr">
        <is>
          <t>AI-001</t>
        </is>
      </c>
      <c r="C128" s="3" t="inlineStr">
        <is>
          <t>Process drafting** from a description, pasted text or an uploaded SOP/document | P1 | IR v1 draft + forms + rule tables | New *draft* (never published), compiler diagnostics attached</t>
        </is>
      </c>
      <c r="D128" s="3" t="inlineStr">
        <is>
          <t>16-AI-ASSISTANCE.md</t>
        </is>
      </c>
      <c r="E128" s="3" t="inlineStr">
        <is>
          <t>Not started</t>
        </is>
      </c>
    </row>
    <row r="129">
      <c r="A129" s="3" t="inlineStr">
        <is>
          <t>AI (AI)</t>
        </is>
      </c>
      <c r="B129" s="3" t="inlineStr">
        <is>
          <t>AI-002</t>
        </is>
      </c>
      <c r="C129" s="3" t="inlineStr">
        <is>
          <t>SOP drafting** from a process model, or restructuring an existing document into the SOP block model | P1 | SOP blocks | Draft SOP version</t>
        </is>
      </c>
      <c r="D129" s="3" t="inlineStr">
        <is>
          <t>16-AI-ASSISTANCE.md</t>
        </is>
      </c>
      <c r="E129" s="3" t="inlineStr">
        <is>
          <t>Not started</t>
        </is>
      </c>
    </row>
    <row r="130">
      <c r="A130" s="3" t="inlineStr">
        <is>
          <t>AI (AI)</t>
        </is>
      </c>
      <c r="B130" s="3" t="inlineStr">
        <is>
          <t>AI-003</t>
        </is>
      </c>
      <c r="C130" s="3" t="inlineStr">
        <is>
          <t>Form generation** from a description or an example document | P1 | JSON Schema + UI schema | Draft form version</t>
        </is>
      </c>
      <c r="D130" s="3" t="inlineStr">
        <is>
          <t>16-AI-ASSISTANCE.md</t>
        </is>
      </c>
      <c r="E130" s="3" t="inlineStr">
        <is>
          <t>Not started</t>
        </is>
      </c>
    </row>
    <row r="131">
      <c r="A131" s="3" t="inlineStr">
        <is>
          <t>AI (AI)</t>
        </is>
      </c>
      <c r="B131" s="3" t="inlineStr">
        <is>
          <t>AI-004</t>
        </is>
      </c>
      <c r="C131" s="3" t="inlineStr">
        <is>
          <t>Rule table suggestion** from a policy text ("over 50 000 needs finance") | P1 | Rule table | Draft rule version</t>
        </is>
      </c>
      <c r="D131" s="3" t="inlineStr">
        <is>
          <t>16-AI-ASSISTANCE.md</t>
        </is>
      </c>
      <c r="E131" s="3" t="inlineStr">
        <is>
          <t>Not started</t>
        </is>
      </c>
    </row>
    <row r="132">
      <c r="A132" s="3" t="inlineStr">
        <is>
          <t>AI (AI)</t>
        </is>
      </c>
      <c r="B132" s="3" t="inlineStr">
        <is>
          <t>AI-005</t>
        </is>
      </c>
      <c r="C132" s="3" t="inlineStr">
        <is>
          <t>Summarise a request or case** (history, current blocker, next step) | P1 | Text | Ephemeral panel; optional save as comment (attributed)</t>
        </is>
      </c>
      <c r="D132" s="3" t="inlineStr">
        <is>
          <t>16-AI-ASSISTANCE.md</t>
        </is>
      </c>
      <c r="E132" s="3" t="inlineStr">
        <is>
          <t>Not started</t>
        </is>
      </c>
    </row>
    <row r="133">
      <c r="A133" s="3" t="inlineStr">
        <is>
          <t>AI (AI)</t>
        </is>
      </c>
      <c r="B133" s="3" t="inlineStr">
        <is>
          <t>AI-006</t>
        </is>
      </c>
      <c r="C133" s="3" t="inlineStr">
        <is>
          <t>Explain an audit timeline** in plain language for investigators | P1 | Text with event links | Ephemeral; can be pinned to an investigation as a labelled note</t>
        </is>
      </c>
      <c r="D133" s="3" t="inlineStr">
        <is>
          <t>16-AI-ASSISTANCE.md</t>
        </is>
      </c>
      <c r="E133" s="3" t="inlineStr">
        <is>
          <t>Not started</t>
        </is>
      </c>
    </row>
    <row r="134">
      <c r="A134" s="3" t="inlineStr">
        <is>
          <t>AI (AI)</t>
        </is>
      </c>
      <c r="B134" s="3" t="inlineStr">
        <is>
          <t>AI-007</t>
        </is>
      </c>
      <c r="C134" s="3" t="inlineStr">
        <is>
          <t>Translate an SOP / form labels** into another workspace locale | P1 | Locale bundle / translated SOP draft | Draft translation needing reviewer approval</t>
        </is>
      </c>
      <c r="D134" s="3" t="inlineStr">
        <is>
          <t>16-AI-ASSISTANCE.md</t>
        </is>
      </c>
      <c r="E134" s="3" t="inlineStr">
        <is>
          <t>Not started</t>
        </is>
      </c>
    </row>
    <row r="135">
      <c r="A135" s="3" t="inlineStr">
        <is>
          <t>AI (AI)</t>
        </is>
      </c>
      <c r="B135" s="3" t="inlineStr">
        <is>
          <t>AI-008</t>
        </is>
      </c>
      <c r="C135" s="3" t="inlineStr">
        <is>
          <t>Improve suggestions** for a draft (missing rejection paths, unclear steps, SLA gaps) | P1 | Annotated suggestions | Suggestion list on the draft</t>
        </is>
      </c>
      <c r="D135" s="3" t="inlineStr">
        <is>
          <t>16-AI-ASSISTANCE.md</t>
        </is>
      </c>
      <c r="E135" s="3" t="inlineStr">
        <is>
          <t>Not started</t>
        </is>
      </c>
    </row>
    <row r="136">
      <c r="A136" s="3" t="inlineStr">
        <is>
          <t>AI (AI)</t>
        </is>
      </c>
      <c r="B136" s="3" t="inlineStr">
        <is>
          <t>AI-009</t>
        </is>
      </c>
      <c r="C136" s="3" t="inlineStr">
        <is>
          <t>Natural-language search / filters** ("overdue purchase requests in Finance last week") | P1 | Data-grid filter AST | Applied filter shown as chips, editable</t>
        </is>
      </c>
      <c r="D136" s="3" t="inlineStr">
        <is>
          <t>16-AI-ASSISTANCE.md</t>
        </is>
      </c>
      <c r="E136" s="3" t="inlineStr">
        <is>
          <t>Not started</t>
        </is>
      </c>
    </row>
    <row r="137">
      <c r="A137" s="3" t="inlineStr">
        <is>
          <t>AI (AI)</t>
        </is>
      </c>
      <c r="B137" s="3" t="inlineStr">
        <is>
          <t>AI-010</t>
        </is>
      </c>
      <c r="C137" s="3" t="inlineStr">
        <is>
          <t>Governed agent step** (`ai.task` node: classify, extract, draft a reply) inside a process | P2 | Structured output validated against schema | Output goes to a human review step unless the node is explicitly non-decisional</t>
        </is>
      </c>
      <c r="D137" s="3" t="inlineStr">
        <is>
          <t>16-AI-ASSISTANCE.md</t>
        </is>
      </c>
      <c r="E137" s="3" t="inlineStr">
        <is>
          <t>Not started</t>
        </is>
      </c>
    </row>
    <row r="138">
      <c r="A138" s="3" t="inlineStr">
        <is>
          <t>AI (AI)</t>
        </is>
      </c>
      <c r="B138" s="3" t="inlineStr">
        <is>
          <t>AI-011</t>
        </is>
      </c>
      <c r="C138" s="3" t="inlineStr">
        <is>
          <t>Provider abstraction + Anthropic, OpenAI-compatible and Ollama adapters | P1 | M | Secret store, egress proxy</t>
        </is>
      </c>
      <c r="D138" s="3" t="inlineStr">
        <is>
          <t>16-AI-ASSISTANCE.md</t>
        </is>
      </c>
      <c r="E138" s="3" t="inlineStr">
        <is>
          <t>Not started</t>
        </is>
      </c>
    </row>
    <row r="139">
      <c r="A139" s="3" t="inlineStr">
        <is>
          <t>AI (AI)</t>
        </is>
      </c>
      <c r="B139" s="3" t="inlineStr">
        <is>
          <t>AI-012</t>
        </is>
      </c>
      <c r="C139" s="3" t="inlineStr">
        <is>
          <t>System Admin provider config + workspace feature toggles + kill switch | P1 | S | AI-011, settings model</t>
        </is>
      </c>
      <c r="D139" s="3" t="inlineStr">
        <is>
          <t>16-AI-ASSISTANCE.md</t>
        </is>
      </c>
      <c r="E139" s="3" t="inlineStr">
        <is>
          <t>Not started</t>
        </is>
      </c>
    </row>
    <row r="140">
      <c r="A140" s="3" t="inlineStr">
        <is>
          <t>AI (AI)</t>
        </is>
      </c>
      <c r="B140" s="3" t="inlineStr">
        <is>
          <t>AI-013</t>
        </is>
      </c>
      <c r="C140" s="3" t="inlineStr">
        <is>
          <t>Redaction-before-prompt (shared with export redaction path) | P1 | S | Field-level policy</t>
        </is>
      </c>
      <c r="D140" s="3" t="inlineStr">
        <is>
          <t>16-AI-ASSISTANCE.md</t>
        </is>
      </c>
      <c r="E140" s="3" t="inlineStr">
        <is>
          <t>Not started</t>
        </is>
      </c>
    </row>
    <row r="141">
      <c r="A141" s="3" t="inlineStr">
        <is>
          <t>AI (AI)</t>
        </is>
      </c>
      <c r="B141" s="3" t="inlineStr">
        <is>
          <t>AI-014</t>
        </is>
      </c>
      <c r="C141" s="3" t="inlineStr">
        <is>
          <t>Provenance records + audit events + "AI-drafted" badge model | P1 | M | Audit trail</t>
        </is>
      </c>
      <c r="D141" s="3" t="inlineStr">
        <is>
          <t>16-AI-ASSISTANCE.md</t>
        </is>
      </c>
      <c r="E141" s="3" t="inlineStr">
        <is>
          <t>Not started</t>
        </is>
      </c>
    </row>
    <row r="142">
      <c r="A142" s="3" t="inlineStr">
        <is>
          <t>AI (AI)</t>
        </is>
      </c>
      <c r="B142" s="3" t="inlineStr">
        <is>
          <t>AI-015</t>
        </is>
      </c>
      <c r="C142" s="3" t="inlineStr">
        <is>
          <t>Process drafting (AI-001) with compiler loop and suggestion diff UI | P1 | L | IR compiler, designer</t>
        </is>
      </c>
      <c r="D142" s="3" t="inlineStr">
        <is>
          <t>16-AI-ASSISTANCE.md</t>
        </is>
      </c>
      <c r="E142" s="3" t="inlineStr">
        <is>
          <t>Not started</t>
        </is>
      </c>
    </row>
    <row r="143">
      <c r="A143" s="3" t="inlineStr">
        <is>
          <t>AI (AI)</t>
        </is>
      </c>
      <c r="B143" s="3" t="inlineStr">
        <is>
          <t>AI-016</t>
        </is>
      </c>
      <c r="C143" s="3" t="inlineStr">
        <is>
          <t>SOP drafting / restructure (AI-002) | P1 | M | SOP block model</t>
        </is>
      </c>
      <c r="D143" s="3" t="inlineStr">
        <is>
          <t>16-AI-ASSISTANCE.md</t>
        </is>
      </c>
      <c r="E143" s="3" t="inlineStr">
        <is>
          <t>Not started</t>
        </is>
      </c>
    </row>
    <row r="144">
      <c r="A144" s="3" t="inlineStr">
        <is>
          <t>AI (AI)</t>
        </is>
      </c>
      <c r="B144" s="3" t="inlineStr">
        <is>
          <t>AI-017</t>
        </is>
      </c>
      <c r="C144" s="3" t="inlineStr">
        <is>
          <t>Form + rule-table generation (AI-003, AI-004) | P1 | M | Form builder, rule tables</t>
        </is>
      </c>
      <c r="D144" s="3" t="inlineStr">
        <is>
          <t>16-AI-ASSISTANCE.md</t>
        </is>
      </c>
      <c r="E144" s="3" t="inlineStr">
        <is>
          <t>Not started</t>
        </is>
      </c>
    </row>
    <row r="145">
      <c r="A145" s="3" t="inlineStr">
        <is>
          <t>AI (AI)</t>
        </is>
      </c>
      <c r="B145" s="3" t="inlineStr">
        <is>
          <t>AI-018</t>
        </is>
      </c>
      <c r="C145" s="3" t="inlineStr">
        <is>
          <t>Request/case summary + audit explanation with citations (AI-005, AI-006) | P1 | M | Audit explorer</t>
        </is>
      </c>
      <c r="D145" s="3" t="inlineStr">
        <is>
          <t>16-AI-ASSISTANCE.md</t>
        </is>
      </c>
      <c r="E145" s="3" t="inlineStr">
        <is>
          <t>Not started</t>
        </is>
      </c>
    </row>
    <row r="146">
      <c r="A146" s="3" t="inlineStr">
        <is>
          <t>AI (AI)</t>
        </is>
      </c>
      <c r="B146" s="3" t="inlineStr">
        <is>
          <t>AI-019</t>
        </is>
      </c>
      <c r="C146" s="3" t="inlineStr">
        <is>
          <t>SOP/form translation workflow (AI-007) | P1 | M | i18n bundles</t>
        </is>
      </c>
      <c r="D146" s="3" t="inlineStr">
        <is>
          <t>16-AI-ASSISTANCE.md</t>
        </is>
      </c>
      <c r="E146" s="3" t="inlineStr">
        <is>
          <t>Not started</t>
        </is>
      </c>
    </row>
    <row r="147">
      <c r="A147" s="3" t="inlineStr">
        <is>
          <t>AI (AI)</t>
        </is>
      </c>
      <c r="B147" s="3" t="inlineStr">
        <is>
          <t>AI-020</t>
        </is>
      </c>
      <c r="C147" s="3" t="inlineStr">
        <is>
          <t>Draft improvement suggestions (AI-008) | P1 | S | AI-015</t>
        </is>
      </c>
      <c r="D147" s="3" t="inlineStr">
        <is>
          <t>16-AI-ASSISTANCE.md</t>
        </is>
      </c>
      <c r="E147" s="3" t="inlineStr">
        <is>
          <t>Not started</t>
        </is>
      </c>
    </row>
    <row r="148">
      <c r="A148" s="3" t="inlineStr">
        <is>
          <t>AI (AI)</t>
        </is>
      </c>
      <c r="B148" s="3" t="inlineStr">
        <is>
          <t>AI-021</t>
        </is>
      </c>
      <c r="C148" s="3" t="inlineStr">
        <is>
          <t>NL → data-grid filter (AI-009) | P1 | S | Shared data grid filter AST</t>
        </is>
      </c>
      <c r="D148" s="3" t="inlineStr">
        <is>
          <t>16-AI-ASSISTANCE.md</t>
        </is>
      </c>
      <c r="E148" s="3" t="inlineStr">
        <is>
          <t>Not started</t>
        </is>
      </c>
    </row>
    <row r="149">
      <c r="A149" s="3" t="inlineStr">
        <is>
          <t>AI (AI)</t>
        </is>
      </c>
      <c r="B149" s="3" t="inlineStr">
        <is>
          <t>AI-022</t>
        </is>
      </c>
      <c r="C149" s="3" t="inlineStr">
        <is>
          <t>Evaluation harness, golden sets, injection suite, CI integration | P1 | M | AI-011</t>
        </is>
      </c>
      <c r="D149" s="3" t="inlineStr">
        <is>
          <t>16-AI-ASSISTANCE.md</t>
        </is>
      </c>
      <c r="E149" s="3" t="inlineStr">
        <is>
          <t>Not started</t>
        </is>
      </c>
    </row>
    <row r="150">
      <c r="A150" s="3" t="inlineStr">
        <is>
          <t>AI (AI)</t>
        </is>
      </c>
      <c r="B150" s="3" t="inlineStr">
        <is>
          <t>AI-023</t>
        </is>
      </c>
      <c r="C150" s="3" t="inlineStr">
        <is>
          <t>Usage metering, budgets, admin dashboard tiles | P1 | S | AI-011</t>
        </is>
      </c>
      <c r="D150" s="3" t="inlineStr">
        <is>
          <t>16-AI-ASSISTANCE.md</t>
        </is>
      </c>
      <c r="E150" s="3" t="inlineStr">
        <is>
          <t>Not started</t>
        </is>
      </c>
    </row>
    <row r="151">
      <c r="A151" s="3" t="inlineStr">
        <is>
          <t>AI (AI)</t>
        </is>
      </c>
      <c r="B151" s="3" t="inlineStr">
        <is>
          <t>AI-024</t>
        </is>
      </c>
      <c r="C151" s="3" t="inlineStr">
        <is>
          <t>AI DPIA template, Art. 6(3) assessment, subprocessor list entries | P1 | S | —</t>
        </is>
      </c>
      <c r="D151" s="3" t="inlineStr">
        <is>
          <t>16-AI-ASSISTANCE.md</t>
        </is>
      </c>
      <c r="E151" s="3" t="inlineStr">
        <is>
          <t>Not started</t>
        </is>
      </c>
    </row>
    <row r="152">
      <c r="A152" s="3" t="inlineStr">
        <is>
          <t>AI (AI)</t>
        </is>
      </c>
      <c r="B152" s="3" t="inlineStr">
        <is>
          <t>AI-025</t>
        </is>
      </c>
      <c r="C152" s="3" t="inlineStr">
        <is>
          <t>Governed `ai.task` node (AI-010): schema-bound output, mandatory review step, versioned prompts in release bundle | P2 | L | IR v2, AI-022</t>
        </is>
      </c>
      <c r="D152" s="3" t="inlineStr">
        <is>
          <t>16-AI-ASSISTANCE.md</t>
        </is>
      </c>
      <c r="E152" s="3" t="inlineStr">
        <is>
          <t>Not started</t>
        </is>
      </c>
    </row>
    <row r="153">
      <c r="A153" s="3" t="inlineStr">
        <is>
          <t>E2E scenarios (E2E)</t>
        </is>
      </c>
      <c r="B153" s="3" t="inlineStr">
        <is>
          <t>E2E-P0-01</t>
        </is>
      </c>
      <c r="C153" s="3" t="inlineStr">
        <is>
          <t>`/healthz` and `/readyz` return 200 | Harness boots the stack</t>
        </is>
      </c>
      <c r="D153" s="3" t="inlineStr">
        <is>
          <t>23-E2E-TEST-PLAN.md</t>
        </is>
      </c>
      <c r="E153" s="3" t="inlineStr">
        <is>
          <t>Not started</t>
        </is>
      </c>
    </row>
    <row r="154">
      <c r="A154" s="3" t="inlineStr">
        <is>
          <t>E2E scenarios (E2E)</t>
        </is>
      </c>
      <c r="B154" s="3" t="inlineStr">
        <is>
          <t>E2E-P0-02</t>
        </is>
      </c>
      <c r="C154" s="3" t="inlineStr">
        <is>
          <t>`/version` reports name and server time | Clock wiring</t>
        </is>
      </c>
      <c r="D154" s="3" t="inlineStr">
        <is>
          <t>23-E2E-TEST-PLAN.md</t>
        </is>
      </c>
      <c r="E154" s="3" t="inlineStr">
        <is>
          <t>Not started</t>
        </is>
      </c>
    </row>
    <row r="155">
      <c r="A155" s="3" t="inlineStr">
        <is>
          <t>E2E scenarios (E2E)</t>
        </is>
      </c>
      <c r="B155" s="3" t="inlineStr">
        <is>
          <t>E2E-P0-03</t>
        </is>
      </c>
      <c r="C155" s="3" t="inlineStr">
        <is>
          <t>`__test/clock` advances only forward and drives server time; invalid durations get a 422 problem+json | docs/23 §4 controls</t>
        </is>
      </c>
      <c r="D155" s="3" t="inlineStr">
        <is>
          <t>23-E2E-TEST-PLAN.md</t>
        </is>
      </c>
      <c r="E155" s="3" t="inlineStr">
        <is>
          <t>Not started</t>
        </is>
      </c>
    </row>
    <row r="156">
      <c r="A156" s="3" t="inlineStr">
        <is>
          <t>E2E scenarios (E2E)</t>
        </is>
      </c>
      <c r="B156" s="3" t="inlineStr">
        <is>
          <t>E2E-P0-04</t>
        </is>
      </c>
      <c r="C156" s="3" t="inlineStr">
        <is>
          <t>`__test/drain` reports idle; unknown routes return 404 | Drain control; routing baseline</t>
        </is>
      </c>
      <c r="D156" s="3" t="inlineStr">
        <is>
          <t>23-E2E-TEST-PLAN.md</t>
        </is>
      </c>
      <c r="E156" s="3" t="inlineStr">
        <is>
          <t>Not started</t>
        </is>
      </c>
    </row>
    <row r="157">
      <c r="A157" s="3" t="inlineStr">
        <is>
          <t>E2E scenarios (E2E)</t>
        </is>
      </c>
      <c r="B157" s="3" t="inlineStr">
        <is>
          <t>E2E-P0-REL</t>
        </is>
      </c>
      <c r="C157" s="3" t="inlineStr">
        <is>
          <t>The release binary returns 404 for `/__test/clock` (CI step) | docs/24 §5.4</t>
        </is>
      </c>
      <c r="D157" s="3" t="inlineStr">
        <is>
          <t>23-E2E-TEST-PLAN.md</t>
        </is>
      </c>
      <c r="E157" s="3" t="inlineStr">
        <is>
          <t>Not started</t>
        </is>
      </c>
    </row>
    <row r="158">
      <c r="A158" s="3" t="inlineStr">
        <is>
          <t>E2E scenarios (E2E)</t>
        </is>
      </c>
      <c r="B158" s="3" t="inlineStr">
        <is>
          <t>E2E-P0-05</t>
        </is>
      </c>
      <c r="C158" s="3" t="inlineStr">
        <is>
          <t>Design-system gallery: zero axe violations for WCAG 2.0/2.1/2.2 A+AA (light theme) | BPMS-010, A11Y-01</t>
        </is>
      </c>
      <c r="D158" s="3" t="inlineStr">
        <is>
          <t>23-E2E-TEST-PLAN.md</t>
        </is>
      </c>
      <c r="E158" s="3" t="inlineStr">
        <is>
          <t>Not started</t>
        </is>
      </c>
    </row>
    <row r="159">
      <c r="A159" s="3" t="inlineStr">
        <is>
          <t>E2E scenarios (E2E)</t>
        </is>
      </c>
      <c r="B159" s="3" t="inlineStr">
        <is>
          <t>E2E-P0-06</t>
        </is>
      </c>
      <c r="C159" s="3" t="inlineStr">
        <is>
          <t>Same in the dark theme | docs/05 §7.1.1</t>
        </is>
      </c>
      <c r="D159" s="3" t="inlineStr">
        <is>
          <t>23-E2E-TEST-PLAN.md</t>
        </is>
      </c>
      <c r="E159" s="3" t="inlineStr">
        <is>
          <t>Not started</t>
        </is>
      </c>
    </row>
    <row r="160">
      <c r="A160" s="3" t="inlineStr">
        <is>
          <t>E2E scenarios (E2E)</t>
        </is>
      </c>
      <c r="B160" s="3" t="inlineStr">
        <is>
          <t>E2E-P0-07</t>
        </is>
      </c>
      <c r="C160" s="3" t="inlineStr">
        <is>
          <t>Keyboard: skip link is the first tab stop and moves focus to main; every following tab stop shows a visible focus outline | WCAG 2.4.1, 2.4.7, 2.4.11</t>
        </is>
      </c>
      <c r="D160" s="3" t="inlineStr">
        <is>
          <t>23-E2E-TEST-PLAN.md</t>
        </is>
      </c>
      <c r="E160" s="3" t="inlineStr">
        <is>
          <t>Not started</t>
        </is>
      </c>
    </row>
    <row r="161">
      <c r="A161" s="3" t="inlineStr">
        <is>
          <t>E2E scenarios (E2E)</t>
        </is>
      </c>
      <c r="B161" s="3" t="inlineStr">
        <is>
          <t>E2E-P0-08</t>
        </is>
      </c>
      <c r="C161" s="3" t="inlineStr">
        <is>
          <t>Reflows at 320 px with no horizontal scrolling | WCAG 1.4.10</t>
        </is>
      </c>
      <c r="D161" s="3" t="inlineStr">
        <is>
          <t>23-E2E-TEST-PLAN.md</t>
        </is>
      </c>
      <c r="E161" s="3" t="inlineStr">
        <is>
          <t>Not started</t>
        </is>
      </c>
    </row>
    <row r="162">
      <c r="A162" s="3" t="inlineStr">
        <is>
          <t>E2E scenarios (E2E)</t>
        </is>
      </c>
      <c r="B162" s="3" t="inlineStr">
        <is>
          <t>E2E-P0-09</t>
        </is>
      </c>
      <c r="C162" s="3" t="inlineStr">
        <is>
          <t>Every visible interactive target is ≥ 24×24 px (visually hidden native inputs are measured through their label) | WCAG 2.5.8</t>
        </is>
      </c>
      <c r="D162" s="3" t="inlineStr">
        <is>
          <t>23-E2E-TEST-PLAN.md</t>
        </is>
      </c>
      <c r="E162" s="3" t="inlineStr">
        <is>
          <t>Not started</t>
        </is>
      </c>
    </row>
    <row r="163">
      <c r="A163" s="3" t="inlineStr">
        <is>
          <t>E2E scenarios (E2E)</t>
        </is>
      </c>
      <c r="B163" s="3" t="inlineStr">
        <is>
          <t>E2E-P0-10</t>
        </is>
      </c>
      <c r="C163" s="3" t="inlineStr">
        <is>
          <t>The root size follows the display width, not the window: 16px on displays up to 1440 wide and on small screens, about 17.7px at 1920, 20px at 2560 (also in a half-width window) | docs/05 §7.1.0</t>
        </is>
      </c>
      <c r="D163" s="3" t="inlineStr">
        <is>
          <t>23-E2E-TEST-PLAN.md</t>
        </is>
      </c>
      <c r="E163" s="3" t="inlineStr">
        <is>
          <t>Not started</t>
        </is>
      </c>
    </row>
    <row r="164">
      <c r="A164" s="3" t="inlineStr">
        <is>
          <t>E2E scenarios (E2E)</t>
        </is>
      </c>
      <c r="B164" s="3" t="inlineStr">
        <is>
          <t>E2E-P0-10</t>
        </is>
      </c>
      <c r="C164" s="3" t="inlineStr">
        <is>
          <t>Confirm dialog: Cancel focused first, focus trapped, axe-clean, Esc closes and restores focus to the trigger; confirm performs the action | WCAG 2.4.3, 2.1.2; docs/05 §7.1.1</t>
        </is>
      </c>
      <c r="D164" s="3" t="inlineStr">
        <is>
          <t>23-E2E-TEST-PLAN.md</t>
        </is>
      </c>
      <c r="E164" s="3" t="inlineStr">
        <is>
          <t>Not started</t>
        </is>
      </c>
    </row>
    <row r="165">
      <c r="A165" s="3" t="inlineStr">
        <is>
          <t>E2E scenarios (E2E)</t>
        </is>
      </c>
      <c r="B165" s="3" t="inlineStr">
        <is>
          <t>E2E-P0-11</t>
        </is>
      </c>
      <c r="C165" s="3" t="inlineStr">
        <is>
          <t>Data grid: `aria-sort` none→ascending→descending, filter result count announced in a live region, select-all count | FR-V01/V02/V06/V08</t>
        </is>
      </c>
      <c r="D165" s="3" t="inlineStr">
        <is>
          <t>23-E2E-TEST-PLAN.md</t>
        </is>
      </c>
      <c r="E165" s="3" t="inlineStr">
        <is>
          <t>Not started</t>
        </is>
      </c>
    </row>
    <row r="166">
      <c r="A166" s="3" t="inlineStr">
        <is>
          <t>E2E scenarios (E2E)</t>
        </is>
      </c>
      <c r="B166" s="3" t="inlineStr">
        <is>
          <t>E2E-P0-12</t>
        </is>
      </c>
      <c r="C166" s="3" t="inlineStr">
        <is>
          <t>Select operable by keyboard only (open, move, choose) | WCAG 2.1.1</t>
        </is>
      </c>
      <c r="D166" s="3" t="inlineStr">
        <is>
          <t>23-E2E-TEST-PLAN.md</t>
        </is>
      </c>
      <c r="E166" s="3" t="inlineStr">
        <is>
          <t>Not started</t>
        </is>
      </c>
    </row>
    <row r="167">
      <c r="A167" s="3" t="inlineStr">
        <is>
          <t>E2E scenarios (E2E)</t>
        </is>
      </c>
      <c r="B167" s="3" t="inlineStr">
        <is>
          <t>E2E-P0-13</t>
        </is>
      </c>
      <c r="C167" s="3" t="inlineStr">
        <is>
          <t>Tabs: arrow keys move focus and selection; the panel follows | WAI-ARIA tabs pattern</t>
        </is>
      </c>
      <c r="D167" s="3" t="inlineStr">
        <is>
          <t>23-E2E-TEST-PLAN.md</t>
        </is>
      </c>
      <c r="E167" s="3" t="inlineStr">
        <is>
          <t>Not started</t>
        </is>
      </c>
    </row>
    <row r="168">
      <c r="A168" s="3" t="inlineStr">
        <is>
          <t>E2E scenarios (E2E)</t>
        </is>
      </c>
      <c r="B168" s="3" t="inlineStr">
        <is>
          <t>E2E-R1-AUTH-01</t>
        </is>
      </c>
      <c r="C168" s="3" t="inlineStr">
        <is>
          <t>Login returns a ≤ 15 min Bearer JWT + HttpOnly/SameSite=Strict refresh cookie, `Cache-Control: no-store`; `/me` works only with a valid token; forged token → 401 problem+json | §3.2</t>
        </is>
      </c>
      <c r="D168" s="3" t="inlineStr">
        <is>
          <t>23-E2E-TEST-PLAN.md</t>
        </is>
      </c>
      <c r="E168" s="3" t="inlineStr">
        <is>
          <t>Not started</t>
        </is>
      </c>
    </row>
    <row r="169">
      <c r="A169" s="3" t="inlineStr">
        <is>
          <t>E2E scenarios (E2E)</t>
        </is>
      </c>
      <c r="B169" s="3" t="inlineStr">
        <is>
          <t>E2E-R1-AUTH-02</t>
        </is>
      </c>
      <c r="C169" s="3" t="inlineStr">
        <is>
          <t>Wrong password and unknown account return the same error code | enumeration resistance</t>
        </is>
      </c>
      <c r="D169" s="3" t="inlineStr">
        <is>
          <t>23-E2E-TEST-PLAN.md</t>
        </is>
      </c>
      <c r="E169" s="3" t="inlineStr">
        <is>
          <t>Not started</t>
        </is>
      </c>
    </row>
    <row r="170">
      <c r="A170" s="3" t="inlineStr">
        <is>
          <t>E2E scenarios (E2E)</t>
        </is>
      </c>
      <c r="B170" s="3" t="inlineStr">
        <is>
          <t>E2E-R1-AUTH-03</t>
        </is>
      </c>
      <c r="C170" s="3" t="inlineStr">
        <is>
          <t>Refresh rotates the cookie; replaying the old refresh token → `token_reused` and the legitimate session is revoked too | SEC-14</t>
        </is>
      </c>
      <c r="D170" s="3" t="inlineStr">
        <is>
          <t>23-E2E-TEST-PLAN.md</t>
        </is>
      </c>
      <c r="E170" s="3" t="inlineStr">
        <is>
          <t>Not started</t>
        </is>
      </c>
    </row>
    <row r="171">
      <c r="A171" s="3" t="inlineStr">
        <is>
          <t>E2E scenarios (E2E)</t>
        </is>
      </c>
      <c r="B171" s="3" t="inlineStr">
        <is>
          <t>E2E-R1-AUTH-04</t>
        </is>
      </c>
      <c r="C171" s="3" t="inlineStr">
        <is>
          <t>Cookie endpoints without `X-Requested-With: procera` → 403 `csrf` | CSRF</t>
        </is>
      </c>
      <c r="D171" s="3" t="inlineStr">
        <is>
          <t>23-E2E-TEST-PLAN.md</t>
        </is>
      </c>
      <c r="E171" s="3" t="inlineStr">
        <is>
          <t>Not started</t>
        </is>
      </c>
    </row>
    <row r="172">
      <c r="A172" s="3" t="inlineStr">
        <is>
          <t>E2E scenarios (E2E)</t>
        </is>
      </c>
      <c r="B172" s="3" t="inlineStr">
        <is>
          <t>E2E-R1-AUTH-05</t>
        </is>
      </c>
      <c r="C172" s="3" t="inlineStr">
        <is>
          <t>Logout revokes the family and clears the cookie | §3.2</t>
        </is>
      </c>
      <c r="D172" s="3" t="inlineStr">
        <is>
          <t>23-E2E-TEST-PLAN.md</t>
        </is>
      </c>
      <c r="E172" s="3" t="inlineStr">
        <is>
          <t>Not started</t>
        </is>
      </c>
    </row>
    <row r="173">
      <c r="A173" s="3" t="inlineStr">
        <is>
          <t>E2E scenarios (E2E)</t>
        </is>
      </c>
      <c r="B173" s="3" t="inlineStr">
        <is>
          <t>E2E-R1-AUTH-06</t>
        </is>
      </c>
      <c r="C173" s="3" t="inlineStr">
        <is>
          <t>TOTP enrolment (otpauth URI), MFA login (`amr=[pwd,otp]`), MFA token rejected as access token, TOTP replay rejected, recovery code single-use | §3.6</t>
        </is>
      </c>
      <c r="D173" s="3" t="inlineStr">
        <is>
          <t>23-E2E-TEST-PLAN.md</t>
        </is>
      </c>
      <c r="E173" s="3" t="inlineStr">
        <is>
          <t>Not started</t>
        </is>
      </c>
    </row>
    <row r="174">
      <c r="A174" s="3" t="inlineStr">
        <is>
          <t>E2E scenarios (E2E)</t>
        </is>
      </c>
      <c r="B174" s="3" t="inlineStr">
        <is>
          <t>E2E-R1-AUTH-07</t>
        </is>
      </c>
      <c r="C174" s="3" t="inlineStr">
        <is>
          <t>Sign-out-everywhere rejects another device's unexpired JWT and refresh; system audit chain verifies | SEC-04, AUD-01</t>
        </is>
      </c>
      <c r="D174" s="3" t="inlineStr">
        <is>
          <t>23-E2E-TEST-PLAN.md</t>
        </is>
      </c>
      <c r="E174" s="3" t="inlineStr">
        <is>
          <t>Not started</t>
        </is>
      </c>
    </row>
    <row r="175">
      <c r="A175" s="3" t="inlineStr">
        <is>
          <t>E2E scenarios (E2E)</t>
        </is>
      </c>
      <c r="B175" s="3" t="inlineStr">
        <is>
          <t>E2E-R1-AUTH-20</t>
        </is>
      </c>
      <c r="C175" s="3" t="inlineStr">
        <is>
          <t>Register a passkey: options, single-use challenge, recovery codes once, duplicates refused | BPMS-022</t>
        </is>
      </c>
      <c r="D175" s="3" t="inlineStr">
        <is>
          <t>23-E2E-TEST-PLAN.md</t>
        </is>
      </c>
      <c r="E175" s="3" t="inlineStr">
        <is>
          <t>Not started</t>
        </is>
      </c>
    </row>
    <row r="176">
      <c r="A176" s="3" t="inlineStr">
        <is>
          <t>E2E scenarios (E2E)</t>
        </is>
      </c>
      <c r="B176" s="3" t="inlineStr">
        <is>
          <t>E2E-R1-AUTH-21</t>
        </is>
      </c>
      <c r="C176" s="3" t="inlineStr">
        <is>
          <t>Sign in with password + passkey; phishing origin and replayed assertions fail | BPMS-022</t>
        </is>
      </c>
      <c r="D176" s="3" t="inlineStr">
        <is>
          <t>23-E2E-TEST-PLAN.md</t>
        </is>
      </c>
      <c r="E176" s="3" t="inlineStr">
        <is>
          <t>Not started</t>
        </is>
      </c>
    </row>
    <row r="177">
      <c r="A177" s="3" t="inlineStr">
        <is>
          <t>E2E scenarios (E2E)</t>
        </is>
      </c>
      <c r="B177" s="3" t="inlineStr">
        <is>
          <t>E2E-R1-AUTH-22</t>
        </is>
      </c>
      <c r="C177" s="3" t="inlineStr">
        <is>
          <t>Step up with a passkey; a sign-in challenge cannot be reused for step-up | BPMS-022</t>
        </is>
      </c>
      <c r="D177" s="3" t="inlineStr">
        <is>
          <t>23-E2E-TEST-PLAN.md</t>
        </is>
      </c>
      <c r="E177" s="3" t="inlineStr">
        <is>
          <t>Not started</t>
        </is>
      </c>
    </row>
    <row r="178">
      <c r="A178" s="3" t="inlineStr">
        <is>
          <t>E2E scenarios (E2E)</t>
        </is>
      </c>
      <c r="B178" s="3" t="inlineStr">
        <is>
          <t>E2E-R1-AUTH-23</t>
        </is>
      </c>
      <c r="C178" s="3" t="inlineStr">
        <is>
          <t>Removing a passkey needs step-up; another user’s passkey is 404; the last one turns MFA off | BPMS-022</t>
        </is>
      </c>
      <c r="D178" s="3" t="inlineStr">
        <is>
          <t>23-E2E-TEST-PLAN.md</t>
        </is>
      </c>
      <c r="E178" s="3" t="inlineStr">
        <is>
          <t>Not started</t>
        </is>
      </c>
    </row>
    <row r="179">
      <c r="A179" s="3" t="inlineStr">
        <is>
          <t>E2E scenarios (E2E)</t>
        </is>
      </c>
      <c r="B179" s="3" t="inlineStr">
        <is>
          <t>E2E-R1-SYS-01</t>
        </is>
      </c>
      <c r="C179" s="3" t="inlineStr">
        <is>
          <t>Bootstrap: wrong token 401; one-time token creates `system.owner`; reuse 409; no further tokens | FR-S01 (= E2E-R1-01)</t>
        </is>
      </c>
      <c r="D179" s="3" t="inlineStr">
        <is>
          <t>23-E2E-TEST-PLAN.md</t>
        </is>
      </c>
      <c r="E179" s="3" t="inlineStr">
        <is>
          <t>Not started</t>
        </is>
      </c>
    </row>
    <row r="180">
      <c r="A180" s="3" t="inlineStr">
        <is>
          <t>E2E scenarios (E2E)</t>
        </is>
      </c>
      <c r="B180" s="3" t="inlineStr">
        <is>
          <t>E2E-R1-SYS-02</t>
        </is>
      </c>
      <c r="C180" s="3" t="inlineStr">
        <is>
          <t>System API returns 404 to non-system users and 403 `mfa_required` to system users without MFA | docs/12 §1, docs/06 §3.6</t>
        </is>
      </c>
      <c r="D180" s="3" t="inlineStr">
        <is>
          <t>23-E2E-TEST-PLAN.md</t>
        </is>
      </c>
      <c r="E180" s="3" t="inlineStr">
        <is>
          <t>Not started</t>
        </is>
      </c>
    </row>
    <row r="181">
      <c r="A181" s="3" t="inlineStr">
        <is>
          <t>E2E scenarios (E2E)</t>
        </is>
      </c>
      <c r="B181" s="3" t="inlineStr">
        <is>
          <t>E2E-R1-SYS-03</t>
        </is>
      </c>
      <c r="C181" s="3" t="inlineStr">
        <is>
          <t>Create workspaces A (starter) and B (enterprise): 201 + Location + ETag, profile quotas, duplicate slug 409, invalid slug 422, listing | FR-S02/S04 (= E2E-R1-02)</t>
        </is>
      </c>
      <c r="D181" s="3" t="inlineStr">
        <is>
          <t>23-E2E-TEST-PLAN.md</t>
        </is>
      </c>
      <c r="E181" s="3" t="inlineStr">
        <is>
          <t>Not started</t>
        </is>
      </c>
    </row>
    <row r="182">
      <c r="A182" s="3" t="inlineStr">
        <is>
          <t>E2E scenarios (E2E)</t>
        </is>
      </c>
      <c r="B182" s="3" t="inlineStr">
        <is>
          <t>E2E-R1-SYS-04</t>
        </is>
      </c>
      <c r="C182" s="3" t="inlineStr">
        <is>
          <t>Suspend read-only with reason; stale `If-Match` → 412; restore with current ETag; invalid transition 409; schedule deletion (grace validated) | FR-S02 (= E2E-R1-17)</t>
        </is>
      </c>
      <c r="D182" s="3" t="inlineStr">
        <is>
          <t>23-E2E-TEST-PLAN.md</t>
        </is>
      </c>
      <c r="E182" s="3" t="inlineStr">
        <is>
          <t>Not started</t>
        </is>
      </c>
    </row>
    <row r="183">
      <c r="A183" s="3" t="inlineStr">
        <is>
          <t>E2E scenarios (E2E)</t>
        </is>
      </c>
      <c r="B183" s="3" t="inlineStr">
        <is>
          <t>E2E-R1-SYS-05</t>
        </is>
      </c>
      <c r="C183" s="3" t="inlineStr">
        <is>
          <t>`system.operator` can read but not write; system audit chain verifies | docs/12 §4.1, FR-S09</t>
        </is>
      </c>
      <c r="D183" s="3" t="inlineStr">
        <is>
          <t>23-E2E-TEST-PLAN.md</t>
        </is>
      </c>
      <c r="E183" s="3" t="inlineStr">
        <is>
          <t>Not started</t>
        </is>
      </c>
    </row>
    <row r="184">
      <c r="A184" s="3" t="inlineStr">
        <is>
          <t>E2E scenarios (E2E)</t>
        </is>
      </c>
      <c r="B184" s="3" t="inlineStr">
        <is>
          <t>E2E-R1-SYS-06</t>
        </is>
      </c>
      <c r="C184" s="3" t="inlineStr">
        <is>
          <t>Workspaces grid lists metadata, quotas and usage counts with filters | BPMS-065</t>
        </is>
      </c>
      <c r="D184" s="3" t="inlineStr">
        <is>
          <t>23-E2E-TEST-PLAN.md</t>
        </is>
      </c>
      <c r="E184" s="3" t="inlineStr">
        <is>
          <t>Not started</t>
        </is>
      </c>
    </row>
    <row r="185">
      <c r="A185" s="3" t="inlineStr">
        <is>
          <t>E2E scenarios (E2E)</t>
        </is>
      </c>
      <c r="B185" s="3" t="inlineStr">
        <is>
          <t>E2E-R1-SYS-07</t>
        </is>
      </c>
      <c r="C185" s="3" t="inlineStr">
        <is>
          <t>Suspend, reactivate and schedule deletion need step-up and land on the system chain | BPMS-065</t>
        </is>
      </c>
      <c r="D185" s="3" t="inlineStr">
        <is>
          <t>23-E2E-TEST-PLAN.md</t>
        </is>
      </c>
      <c r="E185" s="3" t="inlineStr">
        <is>
          <t>Not started</t>
        </is>
      </c>
    </row>
    <row r="186">
      <c r="A186" s="3" t="inlineStr">
        <is>
          <t>E2E scenarios (E2E)</t>
        </is>
      </c>
      <c r="B186" s="3" t="inlineStr">
        <is>
          <t>E2E-R1-SYS-08</t>
        </is>
      </c>
      <c r="C186" s="3" t="inlineStr">
        <is>
          <t>Quota defaults per profile and the member quota enforced at invite time | BPMS-065</t>
        </is>
      </c>
      <c r="D186" s="3" t="inlineStr">
        <is>
          <t>23-E2E-TEST-PLAN.md</t>
        </is>
      </c>
      <c r="E186" s="3" t="inlineStr">
        <is>
          <t>Not started</t>
        </is>
      </c>
    </row>
    <row r="187">
      <c r="A187" s="3" t="inlineStr">
        <is>
          <t>E2E scenarios (E2E)</t>
        </is>
      </c>
      <c r="B187" s="3" t="inlineStr">
        <is>
          <t>E2E-R1-SYS-09</t>
        </is>
      </c>
      <c r="C187" s="3" t="inlineStr">
        <is>
          <t>Platform health and the system audit explorer; auditors read, never change | BPMS-065</t>
        </is>
      </c>
      <c r="D187" s="3" t="inlineStr">
        <is>
          <t>23-E2E-TEST-PLAN.md</t>
        </is>
      </c>
      <c r="E187" s="3" t="inlineStr">
        <is>
          <t>Not started</t>
        </is>
      </c>
    </row>
    <row r="188">
      <c r="A188" s="3" t="inlineStr">
        <is>
          <t>E2E scenarios (E2E)</t>
        </is>
      </c>
      <c r="B188" s="3" t="inlineStr">
        <is>
          <t>E2E-R1-MEM-01</t>
        </is>
      </c>
      <c r="C188" s="3" t="inlineStr">
        <is>
          <t>Owner registers through the system-created invitation; workspace becomes `active`; owner holds owner permissions; invitation is single-use | FR-S01, FR-W01</t>
        </is>
      </c>
      <c r="D188" s="3" t="inlineStr">
        <is>
          <t>23-E2E-TEST-PLAN.md</t>
        </is>
      </c>
      <c r="E188" s="3" t="inlineStr">
        <is>
          <t>Not started</t>
        </is>
      </c>
    </row>
    <row r="189">
      <c r="A189" s="3" t="inlineStr">
        <is>
          <t>E2E scenarios (E2E)</t>
        </is>
      </c>
      <c r="B189" s="3" t="inlineStr">
        <is>
          <t>E2E-R1-MEM-02</t>
        </is>
      </c>
      <c r="C189" s="3" t="inlineStr">
        <is>
          <t>Invite → accept only by the invited email; the token is never returned to the inviter; member appears in the list | FR-W01, docs/06 §3</t>
        </is>
      </c>
      <c r="D189" s="3" t="inlineStr">
        <is>
          <t>23-E2E-TEST-PLAN.md</t>
        </is>
      </c>
      <c r="E189" s="3" t="inlineStr">
        <is>
          <t>Not started</t>
        </is>
      </c>
    </row>
    <row r="190">
      <c r="A190" s="3" t="inlineStr">
        <is>
          <t>E2E scenarios (E2E)</t>
        </is>
      </c>
      <c r="B190" s="3" t="inlineStr">
        <is>
          <t>E2E-R1-MEM-03</t>
        </is>
      </c>
      <c r="C190" s="3" t="inlineStr">
        <is>
          <t>A non-member cannot switch into another workspace (404); workspace APIs need a selected workspace | docs/12 §1, SEC-01</t>
        </is>
      </c>
      <c r="D190" s="3" t="inlineStr">
        <is>
          <t>23-E2E-TEST-PLAN.md</t>
        </is>
      </c>
      <c r="E190" s="3" t="inlineStr">
        <is>
          <t>Not started</t>
        </is>
      </c>
    </row>
    <row r="191">
      <c r="A191" s="3" t="inlineStr">
        <is>
          <t>E2E scenarios (E2E)</t>
        </is>
      </c>
      <c r="B191" s="3" t="inlineStr">
        <is>
          <t>E2E-R1-MEM-04</t>
        </is>
      </c>
      <c r="C191" s="3" t="inlineStr">
        <is>
          <t>Custom role: no escalation, built-ins immutable, grant/revoke takes effect on the next request | FR-W03, ADR-0011</t>
        </is>
      </c>
      <c r="D191" s="3" t="inlineStr">
        <is>
          <t>23-E2E-TEST-PLAN.md</t>
        </is>
      </c>
      <c r="E191" s="3" t="inlineStr">
        <is>
          <t>Not started</t>
        </is>
      </c>
    </row>
    <row r="192">
      <c r="A192" s="3" t="inlineStr">
        <is>
          <t>E2E scenarios (E2E)</t>
        </is>
      </c>
      <c r="B192" s="3" t="inlineStr">
        <is>
          <t>E2E-R1-MEM-05</t>
        </is>
      </c>
      <c r="C192" s="3" t="inlineStr">
        <is>
          <t>Admin cannot invite an owner, cannot remove the last owner or themselves; a deactivated member loses access at once | FR-W01, docs/12 §6</t>
        </is>
      </c>
      <c r="D192" s="3" t="inlineStr">
        <is>
          <t>23-E2E-TEST-PLAN.md</t>
        </is>
      </c>
      <c r="E192" s="3" t="inlineStr">
        <is>
          <t>Not started</t>
        </is>
      </c>
    </row>
    <row r="193">
      <c r="A193" s="3" t="inlineStr">
        <is>
          <t>E2E scenarios (E2E)</t>
        </is>
      </c>
      <c r="B193" s="3" t="inlineStr">
        <is>
          <t>E2E-R1-MEM-06</t>
        </is>
      </c>
      <c r="C193" s="3" t="inlineStr">
        <is>
          <t>Read-only suspension blocks workspace writes with 423, reads still work; restore re-enables writes | FR-S02</t>
        </is>
      </c>
      <c r="D193" s="3" t="inlineStr">
        <is>
          <t>23-E2E-TEST-PLAN.md</t>
        </is>
      </c>
      <c r="E193" s="3" t="inlineStr">
        <is>
          <t>Not started</t>
        </is>
      </c>
    </row>
    <row r="194">
      <c r="A194" s="3" t="inlineStr">
        <is>
          <t>E2E scenarios (E2E)</t>
        </is>
      </c>
      <c r="B194" s="3" t="inlineStr">
        <is>
          <t>E2E-R1-MEM-07</t>
        </is>
      </c>
      <c r="C194" s="3" t="inlineStr">
        <is>
          <t>Pending invitations listed; revoking kills the token (404); resend issues a new working token; `/__test/drain` dispatches the outbox to idle | FR-W01, docs/04 §2.11</t>
        </is>
      </c>
      <c r="D194" s="3" t="inlineStr">
        <is>
          <t>23-E2E-TEST-PLAN.md</t>
        </is>
      </c>
      <c r="E194" s="3" t="inlineStr">
        <is>
          <t>Not started</t>
        </is>
      </c>
    </row>
    <row r="195">
      <c r="A195" s="3" t="inlineStr">
        <is>
          <t>E2E scenarios (E2E)</t>
        </is>
      </c>
      <c r="B195" s="3" t="inlineStr">
        <is>
          <t>E2E-R1-MEM-08</t>
        </is>
      </c>
      <c r="C195" s="3" t="inlineStr">
        <is>
          <t>An admin cannot revoke the owner's grant (escalation); the last owner keeps the role; role preview shows added/removed/affected members; role and grant changes are on the verified audit chain | FR-W03, docs/12 §5, FR-T01</t>
        </is>
      </c>
      <c r="D195" s="3" t="inlineStr">
        <is>
          <t>23-E2E-TEST-PLAN.md</t>
        </is>
      </c>
      <c r="E195" s="3" t="inlineStr">
        <is>
          <t>Not started</t>
        </is>
      </c>
    </row>
    <row r="196">
      <c r="A196" s="3" t="inlineStr">
        <is>
          <t>E2E scenarios (E2E)</t>
        </is>
      </c>
      <c r="B196" s="3" t="inlineStr">
        <is>
          <t>E2E-R1-MEM-09</t>
        </is>
      </c>
      <c r="C196" s="3" t="inlineStr">
        <is>
          <t>A role granted to a group applies while the member is in it and stops when removed; owner role cannot go to groups; a department-scoped admin reaches members in the subtree only | docs/12 §5, FR-W03</t>
        </is>
      </c>
      <c r="D196" s="3" t="inlineStr">
        <is>
          <t>23-E2E-TEST-PLAN.md</t>
        </is>
      </c>
      <c r="E196" s="3" t="inlineStr">
        <is>
          <t>Not started</t>
        </is>
      </c>
    </row>
    <row r="197">
      <c r="A197" s="3" t="inlineStr">
        <is>
          <t>E2E scenarios (E2E)</t>
        </is>
      </c>
      <c r="B197" s="3" t="inlineStr">
        <is>
          <t>E2E-R1-MEM-10</t>
        </is>
      </c>
      <c r="C197" s="3" t="inlineStr">
        <is>
          <t>MFA by role: in a Standard workspace an admin signed in without MFA is refused at workspace entry (403 `mfa_required`); a plain member is not | docs/20 §2.3 `auth.mfa.required_roles`, FR-W06</t>
        </is>
      </c>
      <c r="D197" s="3" t="inlineStr">
        <is>
          <t>23-E2E-TEST-PLAN.md</t>
        </is>
      </c>
      <c r="E197" s="3" t="inlineStr">
        <is>
          <t>Not started</t>
        </is>
      </c>
    </row>
    <row r="198">
      <c r="A198" s="3" t="inlineStr">
        <is>
          <t>E2E scenarios (E2E)</t>
        </is>
      </c>
      <c r="B198" s="3" t="inlineStr">
        <is>
          <t>E2E-R1-AUD-01</t>
        </is>
      </c>
      <c r="C198" s="3" t="inlineStr">
        <is>
          <t>Every mutating route is called once and appends exactly the audit actions in its route contract (`/__test/audit/contract`); exempt routes append nothing; no route goes unexercised (bootstrap is one-shot and checked by the platform integration test) | FR-T01, docs/24 §3.5</t>
        </is>
      </c>
      <c r="D198" s="3" t="inlineStr">
        <is>
          <t>23-E2E-TEST-PLAN.md</t>
        </is>
      </c>
      <c r="E198" s="3" t="inlineStr">
        <is>
          <t>Not started</t>
        </is>
      </c>
    </row>
    <row r="199">
      <c r="A199" s="3" t="inlineStr">
        <is>
          <t>E2E scenarios (E2E)</t>
        </is>
      </c>
      <c r="B199" s="3" t="inlineStr">
        <is>
          <t>E2E-R1-CFG-01</t>
        </is>
      </c>
      <c r="C199" s="3" t="inlineStr">
        <is>
          <t>The creation profile seeds values (Starter: 8 h idle); the explainer lists default → platform floor → profile; unknown keys 404 | FR-W04, docs/20 §0-1</t>
        </is>
      </c>
      <c r="D199" s="3" t="inlineStr">
        <is>
          <t>23-E2E-TEST-PLAN.md</t>
        </is>
      </c>
      <c r="E199" s="3" t="inlineStr">
        <is>
          <t>Not started</t>
        </is>
      </c>
    </row>
    <row r="200">
      <c r="A200" s="3" t="inlineStr">
        <is>
          <t>E2E scenarios (E2E)</t>
        </is>
      </c>
      <c r="B200" s="3" t="inlineStr">
        <is>
          <t>E2E-R1-CFG-02</t>
        </is>
      </c>
      <c r="C200" s="3" t="inlineStr">
        <is>
          <t>Looser than a floor → 422 `setting_below_floor`; ⚡ keys need a reason; stricter value saved with `ETag`/`If-Match` (stale → 412); floor-locked key 403; invalid value 422; history records the change | FR-S05, FR-W06</t>
        </is>
      </c>
      <c r="D200" s="3" t="inlineStr">
        <is>
          <t>23-E2E-TEST-PLAN.md</t>
        </is>
      </c>
      <c r="E200" s="3" t="inlineStr">
        <is>
          <t>Not started</t>
        </is>
      </c>
    </row>
    <row r="201">
      <c r="A201" s="3" t="inlineStr">
        <is>
          <t>E2E scenarios (E2E)</t>
        </is>
      </c>
      <c r="B201" s="3" t="inlineStr">
        <is>
          <t>E2E-R1-CFG-03</t>
        </is>
      </c>
      <c r="C201" s="3" t="inlineStr">
        <is>
          <t>Step-up keys need a recent authentication: a 10-minute-old sign-in gets 401 `step_up_required`; a wrong code fails; `POST /session/step-up` with a current TOTP code issues a fresh token that succeeds | docs/12 §11, SEC-17</t>
        </is>
      </c>
      <c r="D201" s="3" t="inlineStr">
        <is>
          <t>23-E2E-TEST-PLAN.md</t>
        </is>
      </c>
      <c r="E201" s="3" t="inlineStr">
        <is>
          <t>Not started</t>
        </is>
      </c>
    </row>
    <row r="202">
      <c r="A202" s="3" t="inlineStr">
        <is>
          <t>E2E scenarios (E2E)</t>
        </is>
      </c>
      <c r="B202" s="3" t="inlineStr">
        <is>
          <t>E2E-R1-CFG-04</t>
        </is>
      </c>
      <c r="C202" s="3" t="inlineStr">
        <is>
          <t>A member without settings permissions can neither view nor change settings | docs/12 §5</t>
        </is>
      </c>
      <c r="D202" s="3" t="inlineStr">
        <is>
          <t>23-E2E-TEST-PLAN.md</t>
        </is>
      </c>
      <c r="E202" s="3" t="inlineStr">
        <is>
          <t>Not started</t>
        </is>
      </c>
    </row>
    <row r="203">
      <c r="A203" s="3" t="inlineStr">
        <is>
          <t>E2E scenarios (E2E)</t>
        </is>
      </c>
      <c r="B203" s="3" t="inlineStr">
        <is>
          <t>E2E-R1-CFG-05</t>
        </is>
      </c>
      <c r="C203" s="3" t="inlineStr">
        <is>
          <t>Raising a platform floor clamps a looser workspace value at resolution (stored value kept, `clamped: true`); floors need a reason; keys without floors are rejected | docs/20 §1 rules 4-5</t>
        </is>
      </c>
      <c r="D203" s="3" t="inlineStr">
        <is>
          <t>23-E2E-TEST-PLAN.md</t>
        </is>
      </c>
      <c r="E203" s="3" t="inlineStr">
        <is>
          <t>Not started</t>
        </is>
      </c>
    </row>
    <row r="204">
      <c r="A204" s="3" t="inlineStr">
        <is>
          <t>E2E scenarios (E2E)</t>
        </is>
      </c>
      <c r="B204" s="3" t="inlineStr">
        <is>
          <t>E2E-R1-CFG-06</t>
        </is>
      </c>
      <c r="C204" s="3" t="inlineStr">
        <is>
          <t>Department overrides: set on a parent, inherited by a child, explained, cleared; catalogue and workspace isolation enforced | BPMS-027</t>
        </is>
      </c>
      <c r="D204" s="3" t="inlineStr">
        <is>
          <t>23-E2E-TEST-PLAN.md</t>
        </is>
      </c>
      <c r="E204" s="3" t="inlineStr">
        <is>
          <t>Not started</t>
        </is>
      </c>
    </row>
    <row r="205">
      <c r="A205" s="3" t="inlineStr">
        <is>
          <t>E2E scenarios (E2E)</t>
        </is>
      </c>
      <c r="B205" s="3" t="inlineStr">
        <is>
          <t>E2E-R1-CFG-07</t>
        </is>
      </c>
      <c r="C205" s="3" t="inlineStr">
        <is>
          <t>Profile switch: the plan shows current, new and floor values; apply needs If-Match, a reason and step-up; then nothing is left to change | BPMS-027, CFG-017</t>
        </is>
      </c>
      <c r="D205" s="3" t="inlineStr">
        <is>
          <t>23-E2E-TEST-PLAN.md</t>
        </is>
      </c>
      <c r="E205" s="3" t="inlineStr">
        <is>
          <t>Not started</t>
        </is>
      </c>
    </row>
    <row r="206">
      <c r="A206" s="3" t="inlineStr">
        <is>
          <t>E2E scenarios (E2E)</t>
        </is>
      </c>
      <c r="B206" s="3" t="inlineStr">
        <is>
          <t>E2E-R1-CFG-08</t>
        </is>
      </c>
      <c r="C206" s="3" t="inlineStr">
        <is>
          <t>A settings change is visible on the very next read, through the cache when one is configured | BPMS-027, CFG-004</t>
        </is>
      </c>
      <c r="D206" s="3" t="inlineStr">
        <is>
          <t>23-E2E-TEST-PLAN.md</t>
        </is>
      </c>
      <c r="E206" s="3" t="inlineStr">
        <is>
          <t>Not started</t>
        </is>
      </c>
    </row>
    <row r="207">
      <c r="A207" s="3" t="inlineStr">
        <is>
          <t>E2E scenarios (E2E)</t>
        </is>
      </c>
      <c r="B207" s="3" t="inlineStr">
        <is>
          <t>E2E-R1-DIR-01</t>
        </is>
      </c>
      <c r="C207" s="3" t="inlineStr">
        <is>
          <t>Department tree: sibling names unique (409), moving under a descendant rejected (422 `cycle`), deleting a non-empty department refused | FR-W02</t>
        </is>
      </c>
      <c r="D207" s="3" t="inlineStr">
        <is>
          <t>23-E2E-TEST-PLAN.md</t>
        </is>
      </c>
      <c r="E207" s="3" t="inlineStr">
        <is>
          <t>Not started</t>
        </is>
      </c>
    </row>
    <row r="208">
      <c r="A208" s="3" t="inlineStr">
        <is>
          <t>E2E scenarios (E2E)</t>
        </is>
      </c>
      <c r="B208" s="3" t="inlineStr">
        <is>
          <t>E2E-R1-DIR-02</t>
        </is>
      </c>
      <c r="C208" s="3" t="inlineStr">
        <is>
          <t>Manager cycles rejected; resolution is the explicit manager, else the nearest department head that is not the member; field sources recorded | FR-W02 (deterministic resolution)</t>
        </is>
      </c>
      <c r="D208" s="3" t="inlineStr">
        <is>
          <t>23-E2E-TEST-PLAN.md</t>
        </is>
      </c>
      <c r="E208" s="3" t="inlineStr">
        <is>
          <t>Not started</t>
        </is>
      </c>
    </row>
    <row r="209">
      <c r="A209" s="3" t="inlineStr">
        <is>
          <t>E2E scenarios (E2E)</t>
        </is>
      </c>
      <c r="B209" s="3" t="inlineStr">
        <is>
          <t>E2E-R1-DIR-03</t>
        </is>
      </c>
      <c r="C209" s="3" t="inlineStr">
        <is>
          <t>Static groups (duplicate member 409); positions blocked until `directory.positions.enabled`; members read the directory but cannot change it | FR-W02, docs/20 §2.5</t>
        </is>
      </c>
      <c r="D209" s="3" t="inlineStr">
        <is>
          <t>23-E2E-TEST-PLAN.md</t>
        </is>
      </c>
      <c r="E209" s="3" t="inlineStr">
        <is>
          <t>Not started</t>
        </is>
      </c>
    </row>
    <row r="210">
      <c r="A210" s="3" t="inlineStr">
        <is>
          <t>E2E scenarios (E2E)</t>
        </is>
      </c>
      <c r="B210" s="3" t="inlineStr">
        <is>
          <t>E2E-R1-DIR-04</t>
        </is>
      </c>
      <c r="C210" s="3" t="inlineStr">
        <is>
          <t>CSV import: `mode=plan` changes nothing; `mode=apply` creates departments by path and links managers listed later in the file; unknown members reported per row; unknown columns 422 | FR-W02</t>
        </is>
      </c>
      <c r="D210" s="3" t="inlineStr">
        <is>
          <t>23-E2E-TEST-PLAN.md</t>
        </is>
      </c>
      <c r="E210" s="3" t="inlineStr">
        <is>
          <t>Not started</t>
        </is>
      </c>
    </row>
    <row r="211">
      <c r="A211" s="3" t="inlineStr">
        <is>
          <t>E2E scenarios (E2E)</t>
        </is>
      </c>
      <c r="B211" s="3" t="inlineStr">
        <is>
          <t>E2E-R1-NOT-01</t>
        </is>
      </c>
      <c r="C211" s="3" t="inlineStr">
        <is>
          <t>An invitation queues an email (subject, HTML button, link); the link's token registers the invitee; the inviter gets an in-app "joined" notification; read / unread / read-all work | FR-N01, FR-N02, FR-W01</t>
        </is>
      </c>
      <c r="D211" s="3" t="inlineStr">
        <is>
          <t>23-E2E-TEST-PLAN.md</t>
        </is>
      </c>
      <c r="E211" s="3" t="inlineStr">
        <is>
          <t>Not started</t>
        </is>
      </c>
    </row>
    <row r="212">
      <c r="A212" s="3" t="inlineStr">
        <is>
          <t>E2E scenarios (E2E)</t>
        </is>
      </c>
      <c r="B212" s="3" t="inlineStr">
        <is>
          <t>E2E-R1-NOT-02</t>
        </is>
      </c>
      <c r="C212" s="3" t="inlineStr">
        <is>
          <t>A member cannot mark another member's notification (404) | FR-N01, SEC-01</t>
        </is>
      </c>
      <c r="D212" s="3" t="inlineStr">
        <is>
          <t>23-E2E-TEST-PLAN.md</t>
        </is>
      </c>
      <c r="E212" s="3" t="inlineStr">
        <is>
          <t>Not started</t>
        </is>
      </c>
    </row>
    <row r="213">
      <c r="A213" s="3" t="inlineStr">
        <is>
          <t>E2E scenarios (E2E)</t>
        </is>
      </c>
      <c r="B213" s="3" t="inlineStr">
        <is>
          <t>E2E-R1-NOT-03</t>
        </is>
      </c>
      <c r="C213" s="3" t="inlineStr">
        <is>
          <t>Preferences fall back to the workspace defaults; a member's overrides apply to them only; invalid digest/hour → 422; null resets | BPMS-048, FR-N04</t>
        </is>
      </c>
      <c r="D213" s="3" t="inlineStr">
        <is>
          <t>23-E2E-TEST-PLAN.md</t>
        </is>
      </c>
      <c r="E213" s="3" t="inlineStr">
        <is>
          <t>Not started</t>
        </is>
      </c>
    </row>
    <row r="214">
      <c r="A214" s="3" t="inlineStr">
        <is>
          <t>E2E scenarios (E2E)</t>
        </is>
      </c>
      <c r="B214" s="3" t="inlineStr">
        <is>
          <t>E2E-R1-NOT-04</t>
        </is>
      </c>
      <c r="C214" s="3" t="inlineStr">
        <is>
          <t>With a daily digest due now, two plain announcements produce no individual emails and exactly one digest listing both (a second drain sends nothing more); in-app notifications still arrive | BPMS-048, FR-N04</t>
        </is>
      </c>
      <c r="D214" s="3" t="inlineStr">
        <is>
          <t>23-E2E-TEST-PLAN.md</t>
        </is>
      </c>
      <c r="E214" s="3" t="inlineStr">
        <is>
          <t>Not started</t>
        </is>
      </c>
    </row>
    <row r="215">
      <c r="A215" s="3" t="inlineStr">
        <is>
          <t>E2E scenarios (E2E)</t>
        </is>
      </c>
      <c r="B215" s="3" t="inlineStr">
        <is>
          <t>E2E-R1-NOT-05</t>
        </is>
      </c>
      <c r="C215" s="3" t="inlineStr">
        <is>
          <t>During quiet hours a plain announcement email is held until the window ends; a critical one is not held | BPMS-048, FR-N04</t>
        </is>
      </c>
      <c r="D215" s="3" t="inlineStr">
        <is>
          <t>23-E2E-TEST-PLAN.md</t>
        </is>
      </c>
      <c r="E215" s="3" t="inlineStr">
        <is>
          <t>Not started</t>
        </is>
      </c>
    </row>
    <row r="216">
      <c r="A216" s="3" t="inlineStr">
        <is>
          <t>E2E scenarios (E2E)</t>
        </is>
      </c>
      <c r="B216" s="3" t="inlineStr">
        <is>
          <t>E2E-R1-LIB-01</t>
        </is>
      </c>
      <c r="C216" s="3" t="inlineStr">
        <is>
          <t>SOP draft → edit with `If-Match` (stale → 412) → submit (no review needed: approved, content hash frozen) → published; editing an approved version 409; content and hash identical on retrieval; one open draft per artifact | FR-G04, FR-G05, T07</t>
        </is>
      </c>
      <c r="D216" s="3" t="inlineStr">
        <is>
          <t>23-E2E-TEST-PLAN.md</t>
        </is>
      </c>
      <c r="E216" s="3" t="inlineStr">
        <is>
          <t>Not started</t>
        </is>
      </c>
    </row>
    <row r="217">
      <c r="A217" s="3" t="inlineStr">
        <is>
          <t>E2E scenarios (E2E)</t>
        </is>
      </c>
      <c r="B217" s="3" t="inlineStr">
        <is>
          <t>E2E-R1-LIB-02</t>
        </is>
      </c>
      <c r="C217" s="3" t="inlineStr">
        <is>
          <t>Controlled policy needs a review: the author's own approval is refused (403 `sod_violation`); a reviewer cannot publish; a reviewer approves; the owner publishes | FR-G04 SoD, docs/12 §6</t>
        </is>
      </c>
      <c r="D217" s="3" t="inlineStr">
        <is>
          <t>23-E2E-TEST-PLAN.md</t>
        </is>
      </c>
      <c r="E217" s="3" t="inlineStr">
        <is>
          <t>Not started</t>
        </is>
      </c>
    </row>
    <row r="218">
      <c r="A218" s="3" t="inlineStr">
        <is>
          <t>E2E scenarios (E2E)</t>
        </is>
      </c>
      <c r="B218" s="3" t="inlineStr">
        <is>
          <t>E2E-R1-LIB-03</t>
        </is>
      </c>
      <c r="C218" s="3" t="inlineStr">
        <is>
          <t>Changes requested needs a comment and returns the draft; withdraw; later versions need a reason for change; publishing supersedes (previous → deprecated) | FR-G04, docs/20 §2.6</t>
        </is>
      </c>
      <c r="D218" s="3" t="inlineStr">
        <is>
          <t>23-E2E-TEST-PLAN.md</t>
        </is>
      </c>
      <c r="E218" s="3" t="inlineStr">
        <is>
          <t>Not started</t>
        </is>
      </c>
    </row>
    <row r="219">
      <c r="A219" s="3" t="inlineStr">
        <is>
          <t>E2E scenarios (E2E)</t>
        </is>
      </c>
      <c r="B219" s="3" t="inlineStr">
        <is>
          <t>E2E-R1-LIB-04</t>
        </is>
      </c>
      <c r="C219" s="3" t="inlineStr">
        <is>
          <t>A scheduled version goes live when its effective time passes (test clock + drain) and supersedes the live one; retire | FR-G05, FR-PL01</t>
        </is>
      </c>
      <c r="D219" s="3" t="inlineStr">
        <is>
          <t>23-E2E-TEST-PLAN.md</t>
        </is>
      </c>
      <c r="E219" s="3" t="inlineStr">
        <is>
          <t>Not started</t>
        </is>
      </c>
    </row>
    <row r="220">
      <c r="A220" s="3" t="inlineStr">
        <is>
          <t>E2E scenarios (E2E)</t>
        </is>
      </c>
      <c r="B220" s="3" t="inlineStr">
        <is>
          <t>E2E-R1-LIB-05</t>
        </is>
      </c>
      <c r="C220" s="3" t="inlineStr">
        <is>
          <t>Members read published policies but cannot author; lists contain only kinds the member may view | docs/12 §5</t>
        </is>
      </c>
      <c r="D220" s="3" t="inlineStr">
        <is>
          <t>23-E2E-TEST-PLAN.md</t>
        </is>
      </c>
      <c r="E220" s="3" t="inlineStr">
        <is>
          <t>Not started</t>
        </is>
      </c>
    </row>
    <row r="221">
      <c r="A221" s="3" t="inlineStr">
        <is>
          <t>E2E scenarios (E2E)</t>
        </is>
      </c>
      <c r="B221" s="3" t="inlineStr">
        <is>
          <t>E2E-R1-LIB-06</t>
        </is>
      </c>
      <c r="C221" s="3" t="inlineStr">
        <is>
          <t>Semantic diff between two versions: one changed block with word-level detail, one added list, unchanged blocks kept; the reverse direction mirrors it; versions of different artifacts → 422; members may compare; another workspace gets 404 | BPMS-043, FR-G05</t>
        </is>
      </c>
      <c r="D221" s="3" t="inlineStr">
        <is>
          <t>23-E2E-TEST-PLAN.md</t>
        </is>
      </c>
      <c r="E221" s="3" t="inlineStr">
        <is>
          <t>Not started</t>
        </is>
      </c>
    </row>
    <row r="222">
      <c r="A222" s="3" t="inlineStr">
        <is>
          <t>E2E scenarios (E2E)</t>
        </is>
      </c>
      <c r="B222" s="3" t="inlineStr">
        <is>
          <t>E2E-R1-LIB-07</t>
        </is>
      </c>
      <c r="C222" s="3" t="inlineStr">
        <is>
          <t>Publishing sets `next_review_at = published + 365 d` (standard); a per-artifact cadence of 20 days moves it and makes it `due_soon`; 0 → 422; `null` restores the default; an unpublished artifact cannot be recertified (409) | BPMS-044, FR-G07, FX-G01</t>
        </is>
      </c>
      <c r="D222" s="3" t="inlineStr">
        <is>
          <t>23-E2E-TEST-PLAN.md</t>
        </is>
      </c>
      <c r="E222" s="3" t="inlineStr">
        <is>
          <t>Not started</t>
        </is>
      </c>
    </row>
    <row r="223">
      <c r="A223" s="3" t="inlineStr">
        <is>
          <t>E2E scenarios (E2E)</t>
        </is>
      </c>
      <c r="B223" s="3" t="inlineStr">
        <is>
          <t>E2E-R1-LIB-08</t>
        </is>
      </c>
      <c r="C223" s="3" t="inlineStr">
        <is>
          <t>A passed review date reads `overdue` immediately; the worker flags it once (two drains) and the owner receives one `review_overdue` notification linking the document; recertifying clears the flag and starts a new period; both are audited | BPMS-044, FR-G07, FX-G01</t>
        </is>
      </c>
      <c r="D223" s="3" t="inlineStr">
        <is>
          <t>23-E2E-TEST-PLAN.md</t>
        </is>
      </c>
      <c r="E223" s="3" t="inlineStr">
        <is>
          <t>Not started</t>
        </is>
      </c>
    </row>
    <row r="224">
      <c r="A224" s="3" t="inlineStr">
        <is>
          <t>E2E scenarios (E2E)</t>
        </is>
      </c>
      <c r="B224" s="3" t="inlineStr">
        <is>
          <t>E2E-R1-LIB-09</t>
        </is>
      </c>
      <c r="C224" s="3" t="inlineStr">
        <is>
          <t>Verification lasts `governance.verification.validity` (90 d) and expires on its own; members cannot verify (403); removing it twice → 409 | BPMS-044, FX-G02</t>
        </is>
      </c>
      <c r="D224" s="3" t="inlineStr">
        <is>
          <t>23-E2E-TEST-PLAN.md</t>
        </is>
      </c>
      <c r="E224" s="3" t="inlineStr">
        <is>
          <t>Not started</t>
        </is>
      </c>
    </row>
    <row r="225">
      <c r="A225" s="3" t="inlineStr">
        <is>
          <t>E2E scenarios (E2E)</t>
        </is>
      </c>
      <c r="B225" s="3" t="inlineStr">
        <is>
          <t>E2E-R1-LIB-10</t>
        </is>
      </c>
      <c r="C225" s="3" t="inlineStr">
        <is>
          <t>Change requests: a member proposes (blank title 422) but cannot resolve (403); declining needs a reason; accepted → implemented by a version of the same artifact (another artifact's version 422); resolved requests are final (409); list filters by state | BPMS-044, FR-G05</t>
        </is>
      </c>
      <c r="D225" s="3" t="inlineStr">
        <is>
          <t>23-E2E-TEST-PLAN.md</t>
        </is>
      </c>
      <c r="E225" s="3" t="inlineStr">
        <is>
          <t>Not started</t>
        </is>
      </c>
    </row>
    <row r="226">
      <c r="A226" s="3" t="inlineStr">
        <is>
          <t>E2E scenarios (E2E)</t>
        </is>
      </c>
      <c r="B226" s="3" t="inlineStr">
        <is>
          <t>E2E-R1-LIB-11</t>
        </is>
      </c>
      <c r="C226" s="3" t="inlineStr">
        <is>
          <t>Collection tree: sibling names unique (409), moving rewrites paths, no move under itself (422), lists filter by subtree, only empty collections delete (409/204) | BPMS-041, FR-G01</t>
        </is>
      </c>
      <c r="D226" s="3" t="inlineStr">
        <is>
          <t>23-E2E-TEST-PLAN.md</t>
        </is>
      </c>
      <c r="E226" s="3" t="inlineStr">
        <is>
          <t>Not started</t>
        </is>
      </c>
    </row>
    <row r="227">
      <c r="A227" s="3" t="inlineStr">
        <is>
          <t>E2E scenarios (E2E)</t>
        </is>
      </c>
      <c r="B227" s="3" t="inlineStr">
        <is>
          <t>E2E-R1-LIB-12</t>
        </is>
      </c>
      <c r="C227" s="3" t="inlineStr">
        <is>
          <t>A restricted collection hides the documents filed under it (also in sub-collections) from readers outside its audience in lists, reads, search and the tree; members cannot manage collections | BPMS-041, FR-G01 "search authorized-only", A-20</t>
        </is>
      </c>
      <c r="D227" s="3" t="inlineStr">
        <is>
          <t>23-E2E-TEST-PLAN.md</t>
        </is>
      </c>
      <c r="E227" s="3" t="inlineStr">
        <is>
          <t>Not started</t>
        </is>
      </c>
    </row>
    <row r="228">
      <c r="A228" s="3" t="inlineStr">
        <is>
          <t>E2E scenarios (E2E)</t>
        </is>
      </c>
      <c r="B228" s="3" t="inlineStr">
        <is>
          <t>E2E-R1-LIB-13</t>
        </is>
      </c>
      <c r="C228" s="3" t="inlineStr">
        <is>
          <t>Owner hand-over (publishers only); RACI with at most one accountable, readable by readers; CSV export with the exact row and an audit event | BPMS-041, FR-G01 "RACI exportable"</t>
        </is>
      </c>
      <c r="D228" s="3" t="inlineStr">
        <is>
          <t>23-E2E-TEST-PLAN.md</t>
        </is>
      </c>
      <c r="E228" s="3" t="inlineStr">
        <is>
          <t>Not started</t>
        </is>
      </c>
    </row>
    <row r="229">
      <c r="A229" s="3" t="inlineStr">
        <is>
          <t>E2E scenarios (E2E)</t>
        </is>
      </c>
      <c r="B229" s="3" t="inlineStr">
        <is>
          <t>E2E-R1-LIB-14</t>
        </is>
      </c>
      <c r="C229" s="3" t="inlineStr">
        <is>
          <t>Rich blocks (heading, formatted paragraph with an in-app link, numbered list, warning callout, table) save; unknown blocks, `javascript:` links and runs that don't add up to the text → 422; HTML export is faithful and escaped, Markdown export exact, unknown format 422; a superseded version's export says so; exports are audited | BPMS-042, ADR-0013</t>
        </is>
      </c>
      <c r="D229" s="3" t="inlineStr">
        <is>
          <t>23-E2E-TEST-PLAN.md</t>
        </is>
      </c>
      <c r="E229" s="3" t="inlineStr">
        <is>
          <t>Not started</t>
        </is>
      </c>
    </row>
    <row r="230">
      <c r="A230" s="3" t="inlineStr">
        <is>
          <t>E2E scenarios (E2E)</t>
        </is>
      </c>
      <c r="B230" s="3" t="inlineStr">
        <is>
          <t>E2E-R1-LIB-15</t>
        </is>
      </c>
      <c r="C230" s="3" t="inlineStr">
        <is>
          <t>Image blocks: refused unless a clean image attached to the draft with a description; HTML export embeds it, Markdown references it; a new version keeps the attachment | BPMS-042</t>
        </is>
      </c>
      <c r="D230" s="3" t="inlineStr">
        <is>
          <t>23-E2E-TEST-PLAN.md</t>
        </is>
      </c>
      <c r="E230" s="3" t="inlineStr">
        <is>
          <t>Not started</t>
        </is>
      </c>
    </row>
    <row r="231">
      <c r="A231" s="3" t="inlineStr">
        <is>
          <t>E2E scenarios (E2E)</t>
        </is>
      </c>
      <c r="B231" s="3" t="inlineStr">
        <is>
          <t>E2E-R1-POL-01</t>
        </is>
      </c>
      <c r="C231" s="3" t="inlineStr">
        <is>
          <t>Readers never see drafts: absent from lists, reads and search until published; a later draft stays hidden (version 404, diff 404, versions list shows v1 only); authors see drafts in search | BPMS-045, A-14</t>
        </is>
      </c>
      <c r="D231" s="3" t="inlineStr">
        <is>
          <t>23-E2E-TEST-PLAN.md</t>
        </is>
      </c>
      <c r="E231" s="3" t="inlineStr">
        <is>
          <t>Not started</t>
        </is>
      </c>
    </row>
    <row r="232">
      <c r="A232" s="3" t="inlineStr">
        <is>
          <t>E2E scenarios (E2E)</t>
        </is>
      </c>
      <c r="B232" s="3" t="inlineStr">
        <is>
          <t>E2E-R1-POL-02</t>
        </is>
      </c>
      <c r="C232" s="3" t="inlineStr">
        <is>
          <t>Applicability: empty audience or restricted without one → 422; members cannot set it (403); a restricted policy is hidden from members outside its group in lists, reads, search, the portal and change requests (404), and shown to those inside; an unrestricted one is listed for everyone but only "applicable" to its audience | BPMS-045, FR-PL01/PL02</t>
        </is>
      </c>
      <c r="D232" s="3" t="inlineStr">
        <is>
          <t>23-E2E-TEST-PLAN.md</t>
        </is>
      </c>
      <c r="E232" s="3" t="inlineStr">
        <is>
          <t>Not started</t>
        </is>
      </c>
    </row>
    <row r="233">
      <c r="A233" s="3" t="inlineStr">
        <is>
          <t>E2E scenarios (E2E)</t>
        </is>
      </c>
      <c r="B233" s="3" t="inlineStr">
        <is>
          <t>E2E-R1-POL-03</t>
        </is>
      </c>
      <c r="C233" s="3" t="inlineStr">
        <is>
          <t>The portal lists published policies that apply to the member (no drafts), ordered by category, with what changed since the previous version (added/changed counts, reason) and text/category filters | BPMS-045, FR-PL02</t>
        </is>
      </c>
      <c r="D233" s="3" t="inlineStr">
        <is>
          <t>23-E2E-TEST-PLAN.md</t>
        </is>
      </c>
      <c r="E233" s="3" t="inlineStr">
        <is>
          <t>Not started</t>
        </is>
      </c>
    </row>
    <row r="234">
      <c r="A234" s="3" t="inlineStr">
        <is>
          <t>E2E scenarios (E2E)</t>
        </is>
      </c>
      <c r="B234" s="3" t="inlineStr">
        <is>
          <t>E2E-R1-POL-04</t>
        </is>
      </c>
      <c r="C234" s="3" t="inlineStr">
        <is>
          <t>A major version asks the applicable audience to re-acknowledge that exact version; a minor one does not (major_only) | BPMS-045, FR-PL03</t>
        </is>
      </c>
      <c r="D234" s="3" t="inlineStr">
        <is>
          <t>23-E2E-TEST-PLAN.md</t>
        </is>
      </c>
      <c r="E234" s="3" t="inlineStr">
        <is>
          <t>Not started</t>
        </is>
      </c>
    </row>
    <row r="235">
      <c r="A235" s="3" t="inlineStr">
        <is>
          <t>E2E scenarios (E2E)</t>
        </is>
      </c>
      <c r="B235" s="3" t="inlineStr">
        <is>
          <t>E2E-R1-POL-05</t>
        </is>
      </c>
      <c r="C235" s="3" t="inlineStr">
        <is>
          <t>Every_publish asks on minors, none never asks, and a scheduled major asks when it goes live | BPMS-045, FR-PL03</t>
        </is>
      </c>
      <c r="D235" s="3" t="inlineStr">
        <is>
          <t>23-E2E-TEST-PLAN.md</t>
        </is>
      </c>
      <c r="E235" s="3" t="inlineStr">
        <is>
          <t>Not started</t>
        </is>
      </c>
    </row>
    <row r="236">
      <c r="A236" s="3" t="inlineStr">
        <is>
          <t>E2E scenarios (E2E)</t>
        </is>
      </c>
      <c r="B236" s="3" t="inlineStr">
        <is>
          <t>E2E-R1-ADM-01</t>
        </is>
      </c>
      <c r="C236" s="3" t="inlineStr">
        <is>
          <t>Overview: overdue acknowledgements rank first in "needs attention", followed by an admin without two-step verification; acknowledgement metrics and a daily published series; the security strip counts a failed sign-in, members without MFA and the new admin grant; requests/storage are null; members get 403; an inverted range → 422 | BPMS-063, FR-A01</t>
        </is>
      </c>
      <c r="D236" s="3" t="inlineStr">
        <is>
          <t>23-E2E-TEST-PLAN.md</t>
        </is>
      </c>
      <c r="E236" s="3" t="inlineStr">
        <is>
          <t>Not started</t>
        </is>
      </c>
    </row>
    <row r="237">
      <c r="A237" s="3" t="inlineStr">
        <is>
          <t>E2E scenarios (E2E)</t>
        </is>
      </c>
      <c r="B237" s="3" t="inlineStr">
        <is>
          <t>E2E-R1-ADM-02</t>
        </is>
      </c>
      <c r="C237" s="3" t="inlineStr">
        <is>
          <t>People &amp; access: counts (members, no MFA, privileged, pending invites), member row (MFA off, last active set, not dormant), no-MFA and admin filters; unknown filter → 422; members get 403 | BPMS-063, FR-A06</t>
        </is>
      </c>
      <c r="D237" s="3" t="inlineStr">
        <is>
          <t>23-E2E-TEST-PLAN.md</t>
        </is>
      </c>
      <c r="E237" s="3" t="inlineStr">
        <is>
          <t>Not started</t>
        </is>
      </c>
    </row>
    <row r="238">
      <c r="A238" s="3" t="inlineStr">
        <is>
          <t>E2E scenarios (E2E)</t>
        </is>
      </c>
      <c r="B238" s="3" t="inlineStr">
        <is>
          <t>E2E-R1-RET-01</t>
        </is>
      </c>
      <c r="C238" s="3" t="inlineStr">
        <is>
          <t>Retention classes are listed (draft and operational automatic; governance records and audit never). Drafts untouched for 170 of 180 days are due and their author is notified once; editing one resets its clock; 11 days later the untouched drafts are deleted (a never-published artifact with its draft, a v2 draft beside a published v1 that stays); the run is recorded and audited (`retention.purged`) | BPMS-066, PRV-04</t>
        </is>
      </c>
      <c r="D238" s="3" t="inlineStr">
        <is>
          <t>23-E2E-TEST-PLAN.md</t>
        </is>
      </c>
      <c r="E238" s="3" t="inlineStr">
        <is>
          <t>Not started</t>
        </is>
      </c>
    </row>
    <row r="239">
      <c r="A239" s="3" t="inlineStr">
        <is>
          <t>E2E scenarios (E2E)</t>
        </is>
      </c>
      <c r="B239" s="3" t="inlineStr">
        <is>
          <t>E2E-R1-RET-02</t>
        </is>
      </c>
      <c r="C239" s="3" t="inlineStr">
        <is>
          <t>A read notification older than the operational period is removed by the job; members cannot see retention (403) | BPMS-066, PRV-04</t>
        </is>
      </c>
      <c r="D239" s="3" t="inlineStr">
        <is>
          <t>23-E2E-TEST-PLAN.md</t>
        </is>
      </c>
      <c r="E239" s="3" t="inlineStr">
        <is>
          <t>Not started</t>
        </is>
      </c>
    </row>
    <row r="240">
      <c r="A240" s="3" t="inlineStr">
        <is>
          <t>E2E scenarios (E2E)</t>
        </is>
      </c>
      <c r="B240" s="3" t="inlineStr">
        <is>
          <t>E2E-R1-KEY-01</t>
        </is>
      </c>
      <c r="C240" s="3" t="inlineStr">
        <is>
          <t>An invitation email is envelope-encrypted under the workspace KEK; rotation needs a reason (422) and is audited; the email stays readable right after rotation and after the background rewrap moves it to v2; the unused v1 is destroyed; members cannot see or rotate keys (403). Crypto-shredding is proven in the `procera-keys` integration test | BPMS-030</t>
        </is>
      </c>
      <c r="D240" s="3" t="inlineStr">
        <is>
          <t>23-E2E-TEST-PLAN.md</t>
        </is>
      </c>
      <c r="E240" s="3" t="inlineStr">
        <is>
          <t>Not started</t>
        </is>
      </c>
    </row>
    <row r="241">
      <c r="A241" s="3" t="inlineStr">
        <is>
          <t>E2E scenarios (E2E)</t>
        </is>
      </c>
      <c r="B241" s="3" t="inlineStr">
        <is>
          <t>E2E-R1-FILE-01</t>
        </is>
      </c>
      <c r="C241" s="3" t="inlineStr">
        <is>
          <t>A chunked upload refuses a wrong offset (409) and resumes from `received`; completion before all bytes 409; the file is hashed (SHA-256 matches), typed by content (PDF despite a .txt name and text/plain declared) and clean; the signed link downloads without a bearer with nosniff and the exact bytes; a tampered link 403; another member gets 404; upload and download are audited | BPMS-060, FR-F01–F03</t>
        </is>
      </c>
      <c r="D241" s="3" t="inlineStr">
        <is>
          <t>23-E2E-TEST-PLAN.md</t>
        </is>
      </c>
      <c r="E241" s="3" t="inlineStr">
        <is>
          <t>Not started</t>
        </is>
      </c>
    </row>
    <row r="242">
      <c r="A242" s="3" t="inlineStr">
        <is>
          <t>E2E scenarios (E2E)</t>
        </is>
      </c>
      <c r="B242" s="3" t="inlineStr">
        <is>
          <t>E2E-R1-FILE-02</t>
        </is>
      </c>
      <c r="C242" s="3" t="inlineStr">
        <is>
          <t>EICAR is quarantined and its download link refused (409); an executable named .pdf and an HTML file named .txt are rejected by content; 500 MB → 413; empty → 422; usage counts states | BPMS-060, FR-F02</t>
        </is>
      </c>
      <c r="D242" s="3" t="inlineStr">
        <is>
          <t>23-E2E-TEST-PLAN.md</t>
        </is>
      </c>
      <c r="E242" s="3" t="inlineStr">
        <is>
          <t>Not started</t>
        </is>
      </c>
    </row>
    <row r="243">
      <c r="A243" s="3" t="inlineStr">
        <is>
          <t>E2E scenarios (E2E)</t>
        </is>
      </c>
      <c r="B243" s="3" t="inlineStr">
        <is>
          <t>E2E-R1-FILE-03</t>
        </is>
      </c>
      <c r="C243" s="3" t="inlineStr">
        <is>
          <t>A draft takes an attachment; after publishing it can't be unlinked or the file deleted (409); a member reading the published SOP downloads it; an unattached file past the orphan period is listed, members can't purge (403), the owner purges it | BPMS-060/062, FR-F05/F07</t>
        </is>
      </c>
      <c r="D243" s="3" t="inlineStr">
        <is>
          <t>23-E2E-TEST-PLAN.md</t>
        </is>
      </c>
      <c r="E243" s="3" t="inlineStr">
        <is>
          <t>Not started</t>
        </is>
      </c>
    </row>
    <row r="244">
      <c r="A244" s="3" t="inlineStr">
        <is>
          <t>E2E scenarios (E2E)</t>
        </is>
      </c>
      <c r="B244" s="3" t="inlineStr">
        <is>
          <t>E2E-R1-FILE-04</t>
        </is>
      </c>
      <c r="C244" s="3" t="inlineStr">
        <is>
          <t>A PNG, a PDF and a JPEG get preview links that serve inline with the strict headers (CSP sandbox, nosniff, CORP same-origin, no-store) and a ≤ 2-minute expiry; the JPEG's Exif is removed; a text file gets kind none and no URL; a tampered token and a download token on the preview route are 403; another member gets 404; previews are audited The stored JPEG is stripped at upload too: its download has no GPS, its recorded size is the stripped size, and `file.uploaded` records `metadata_removed` (BPMS-209). | BPMS-061, FR-F04/F02</t>
        </is>
      </c>
      <c r="D244" s="3" t="inlineStr">
        <is>
          <t>23-E2E-TEST-PLAN.md</t>
        </is>
      </c>
      <c r="E244" s="3" t="inlineStr">
        <is>
          <t>Not started</t>
        </is>
      </c>
    </row>
    <row r="245">
      <c r="A245" s="3" t="inlineStr">
        <is>
          <t>E2E scenarios (E2E)</t>
        </is>
      </c>
      <c r="B245" s="3" t="inlineStr">
        <is>
          <t>E2E-R1-VIEW-01</t>
        </is>
      </c>
      <c r="C245" s="3" t="inlineStr">
        <is>
          <t>Saved views: personal and shared, one default per member (setting a new default clears the old), invalid list or name 422; another member sees only shared views and can't edit or delete them (403) or touch personal ones (404); unsharing hides it; exports are recorded (`data.exported`), unknown format 422 | BPMS-028, FR-V05/V06</t>
        </is>
      </c>
      <c r="D245" s="3" t="inlineStr">
        <is>
          <t>23-E2E-TEST-PLAN.md</t>
        </is>
      </c>
      <c r="E245" s="3" t="inlineStr">
        <is>
          <t>Not started</t>
        </is>
      </c>
    </row>
    <row r="246">
      <c r="A246" s="3" t="inlineStr">
        <is>
          <t>E2E scenarios (E2E)</t>
        </is>
      </c>
      <c r="B246" s="3" t="inlineStr">
        <is>
          <t>E2E-R1-UI-01</t>
        </is>
      </c>
      <c r="C246" s="3" t="inlineStr">
        <is>
          <t>Sign in through the browser (password + recovery code) lands on Home; navigation is permission-shaped with the current page marked; axe clean on sign-in and Home; reload keeps the session | docs/05 §2.1, §3.1, WCAG 2.2 AA</t>
        </is>
      </c>
      <c r="D246" s="3" t="inlineStr">
        <is>
          <t>23-E2E-TEST-PLAN.md</t>
        </is>
      </c>
      <c r="E246" s="3" t="inlineStr">
        <is>
          <t>Not started</t>
        </is>
      </c>
    </row>
    <row r="247">
      <c r="A247" s="3" t="inlineStr">
        <is>
          <t>E2E scenarios (E2E)</t>
        </is>
      </c>
      <c r="B247" s="3" t="inlineStr">
        <is>
          <t>E2E-R1-UI-02</t>
        </is>
      </c>
      <c r="C247" s="3" t="inlineStr">
        <is>
          <t>Wrong password and wrong code produce clear, non-revealing messages (role=alert); axe clean | docs/06 §3, WCAG 3.3.1</t>
        </is>
      </c>
      <c r="D247" s="3" t="inlineStr">
        <is>
          <t>23-E2E-TEST-PLAN.md</t>
        </is>
      </c>
      <c r="E247" s="3" t="inlineStr">
        <is>
          <t>Not started</t>
        </is>
      </c>
    </row>
    <row r="248">
      <c r="A248" s="3" t="inlineStr">
        <is>
          <t>E2E scenarios (E2E)</t>
        </is>
      </c>
      <c r="B248" s="3" t="inlineStr">
        <is>
          <t>E2E-R1-UI-03</t>
        </is>
      </c>
      <c r="C248" s="3" t="inlineStr">
        <is>
          <t>With several workspaces the chooser appears; choosing one and switching from the header changes the context and the navigation (no Admin for a plain member) | docs/05 §2.1 workspace switcher</t>
        </is>
      </c>
      <c r="D248" s="3" t="inlineStr">
        <is>
          <t>23-E2E-TEST-PLAN.md</t>
        </is>
      </c>
      <c r="E248" s="3" t="inlineStr">
        <is>
          <t>Not started</t>
        </is>
      </c>
    </row>
    <row r="249">
      <c r="A249" s="3" t="inlineStr">
        <is>
          <t>E2E scenarios (E2E)</t>
        </is>
      </c>
      <c r="B249" s="3" t="inlineStr">
        <is>
          <t>E2E-R1-UI-04</t>
        </is>
      </c>
      <c r="C249" s="3" t="inlineStr">
        <is>
          <t>The bell announces the unread count; the inbox lists the "joined" notification; mark all as read | FR-N01</t>
        </is>
      </c>
      <c r="D249" s="3" t="inlineStr">
        <is>
          <t>23-E2E-TEST-PLAN.md</t>
        </is>
      </c>
      <c r="E249" s="3" t="inlineStr">
        <is>
          <t>Not started</t>
        </is>
      </c>
    </row>
    <row r="250">
      <c r="A250" s="3" t="inlineStr">
        <is>
          <t>E2E scenarios (E2E)</t>
        </is>
      </c>
      <c r="B250" s="3" t="inlineStr">
        <is>
          <t>E2E-R1-UI-05</t>
        </is>
      </c>
      <c r="C250" s="3" t="inlineStr">
        <is>
          <t>Sign out returns to sign-in; reloading stays signed out | docs/06 §3</t>
        </is>
      </c>
      <c r="D250" s="3" t="inlineStr">
        <is>
          <t>23-E2E-TEST-PLAN.md</t>
        </is>
      </c>
      <c r="E250" s="3" t="inlineStr">
        <is>
          <t>Not started</t>
        </is>
      </c>
    </row>
    <row r="251">
      <c r="A251" s="3" t="inlineStr">
        <is>
          <t>E2E scenarios (E2E)</t>
        </is>
      </c>
      <c r="B251" s="3" t="inlineStr">
        <is>
          <t>E2E-R1-UI-06</t>
        </is>
      </c>
      <c r="C251" s="3" t="inlineStr">
        <is>
          <t>Theme switched from the account menu persists across reload; dark theme passes axe | docs/05 §7, WCAG 2.2 AA</t>
        </is>
      </c>
      <c r="D251" s="3" t="inlineStr">
        <is>
          <t>23-E2E-TEST-PLAN.md</t>
        </is>
      </c>
      <c r="E251" s="3" t="inlineStr">
        <is>
          <t>Not started</t>
        </is>
      </c>
    </row>
    <row r="252">
      <c r="A252" s="3" t="inlineStr">
        <is>
          <t>E2E scenarios (E2E)</t>
        </is>
      </c>
      <c r="B252" s="3" t="inlineStr">
        <is>
          <t>E2E-R1-UI-07</t>
        </is>
      </c>
      <c r="C252" s="3" t="inlineStr">
        <is>
          <t>Author a policy in the browser: New document dialog → write content (headings, lists) → save → submit → publish; the library row shows Published; axe clean | FR-G04, docs/05 §3.2/§3.21</t>
        </is>
      </c>
      <c r="D252" s="3" t="inlineStr">
        <is>
          <t>23-E2E-TEST-PLAN.md</t>
        </is>
      </c>
      <c r="E252" s="3" t="inlineStr">
        <is>
          <t>Not started</t>
        </is>
      </c>
    </row>
    <row r="253">
      <c r="A253" s="3" t="inlineStr">
        <is>
          <t>E2E scenarios (E2E)</t>
        </is>
      </c>
      <c r="B253" s="3" t="inlineStr">
        <is>
          <t>E2E-R1-UI-08</t>
        </is>
      </c>
      <c r="C253" s="3" t="inlineStr">
        <is>
          <t>A campaign task on Home leads to the document; “I acknowledge” records the acknowledgement (campaign progress +1) and the callout disappears | FR-AK01, docs/05 §3.1</t>
        </is>
      </c>
      <c r="D253" s="3" t="inlineStr">
        <is>
          <t>23-E2E-TEST-PLAN.md</t>
        </is>
      </c>
      <c r="E253" s="3" t="inlineStr">
        <is>
          <t>Not started</t>
        </is>
      </c>
    </row>
    <row r="254">
      <c r="A254" s="3" t="inlineStr">
        <is>
          <t>E2E scenarios (E2E)</t>
        </is>
      </c>
      <c r="B254" s="3" t="inlineStr">
        <is>
          <t>E2E-R1-UI-09</t>
        </is>
      </c>
      <c r="C254" s="3" t="inlineStr">
        <is>
          <t>Invite a colleague from Members with a role; the invitation appears in the table as Invited | FR-W01, docs/05 §3.14</t>
        </is>
      </c>
      <c r="D254" s="3" t="inlineStr">
        <is>
          <t>23-E2E-TEST-PLAN.md</t>
        </is>
      </c>
      <c r="E254" s="3" t="inlineStr">
        <is>
          <t>Not started</t>
        </is>
      </c>
    </row>
    <row r="255">
      <c r="A255" s="3" t="inlineStr">
        <is>
          <t>E2E scenarios (E2E)</t>
        </is>
      </c>
      <c r="B255" s="3" t="inlineStr">
        <is>
          <t>E2E-R1-UI-10</t>
        </is>
      </c>
      <c r="C255" s="3" t="inlineStr">
        <is>
          <t>Read and acknowledge a critical, pinned announcement in the feed | FR-AN04, docs/05 §3.23</t>
        </is>
      </c>
      <c r="D255" s="3" t="inlineStr">
        <is>
          <t>23-E2E-TEST-PLAN.md</t>
        </is>
      </c>
      <c r="E255" s="3" t="inlineStr">
        <is>
          <t>Not started</t>
        </is>
      </c>
    </row>
    <row r="256">
      <c r="A256" s="3" t="inlineStr">
        <is>
          <t>E2E scenarios (E2E)</t>
        </is>
      </c>
      <c r="B256" s="3" t="inlineStr">
        <is>
          <t>E2E-R1-UI-11</t>
        </is>
      </c>
      <c r="C256" s="3" t="inlineStr">
        <is>
          <t>An admin without two-step verification is guided through setup (QR + key, confirm a code, recovery codes) and then signs in with MFA and lands on Home | docs/06 §3, docs/20 §2.3</t>
        </is>
      </c>
      <c r="D256" s="3" t="inlineStr">
        <is>
          <t>23-E2E-TEST-PLAN.md</t>
        </is>
      </c>
      <c r="E256" s="3" t="inlineStr">
        <is>
          <t>Not started</t>
        </is>
      </c>
    </row>
    <row r="257">
      <c r="A257" s="3" t="inlineStr">
        <is>
          <t>E2E scenarios (E2E)</t>
        </is>
      </c>
      <c r="B257" s="3" t="inlineStr">
        <is>
          <t>E2E-R1-UI-12</t>
        </is>
      </c>
      <c r="C257" s="3" t="inlineStr">
        <is>
          <t>⌘K finds a document by its content and opens it; commands navigate; recent items are offered; keyboard only | BPMS-031, BPMS-049</t>
        </is>
      </c>
      <c r="D257" s="3" t="inlineStr">
        <is>
          <t>23-E2E-TEST-PLAN.md</t>
        </is>
      </c>
      <c r="E257" s="3" t="inlineStr">
        <is>
          <t>Not started</t>
        </is>
      </c>
    </row>
    <row r="258">
      <c r="A258" s="3" t="inlineStr">
        <is>
          <t>E2E scenarios (E2E)</t>
        </is>
      </c>
      <c r="B258" s="3" t="inlineStr">
        <is>
          <t>E2E-R1-UI-13</t>
        </is>
      </c>
      <c r="C258" s="3" t="inlineStr">
        <is>
          <t>A new workspace shows composed empty states; an unknown page offers a way back; a failed load shows the error with a retry | BPMS-031 (UX-005)</t>
        </is>
      </c>
      <c r="D258" s="3" t="inlineStr">
        <is>
          <t>23-E2E-TEST-PLAN.md</t>
        </is>
      </c>
      <c r="E258" s="3" t="inlineStr">
        <is>
          <t>Not started</t>
        </is>
      </c>
    </row>
    <row r="259">
      <c r="A259" s="3" t="inlineStr">
        <is>
          <t>E2E scenarios (E2E)</t>
        </is>
      </c>
      <c r="B259" s="3" t="inlineStr">
        <is>
          <t>E2E-R1-UI-14</t>
        </is>
      </c>
      <c r="C259" s="3" t="inlineStr">
        <is>
          <t>Manage announcements: compose a draft; a workspace-wide post is sent for approval; a targeted draft is published and shows receipts | BPMS-031, BPMS-047</t>
        </is>
      </c>
      <c r="D259" s="3" t="inlineStr">
        <is>
          <t>23-E2E-TEST-PLAN.md</t>
        </is>
      </c>
      <c r="E259" s="3" t="inlineStr">
        <is>
          <t>Not started</t>
        </is>
      </c>
    </row>
    <row r="260">
      <c r="A260" s="3" t="inlineStr">
        <is>
          <t>E2E scenarios (E2E)</t>
        </is>
      </c>
      <c r="B260" s="3" t="inlineStr">
        <is>
          <t>E2E-R1-UI-15</t>
        </is>
      </c>
      <c r="C260" s="3" t="inlineStr">
        <is>
          <t>Campaigns: create from a published document with an audience, check the reach, launch, follow progress, download the evidence CSV | BPMS-031, BPMS-046</t>
        </is>
      </c>
      <c r="D260" s="3" t="inlineStr">
        <is>
          <t>23-E2E-TEST-PLAN.md</t>
        </is>
      </c>
      <c r="E260" s="3" t="inlineStr">
        <is>
          <t>Not started</t>
        </is>
      </c>
    </row>
    <row r="261">
      <c r="A261" s="3" t="inlineStr">
        <is>
          <t>E2E scenarios (E2E)</t>
        </is>
      </c>
      <c r="B261" s="3" t="inlineStr">
        <is>
          <t>E2E-R1-UI-16</t>
        </is>
      </c>
      <c r="C261" s="3" t="inlineStr">
        <is>
          <t>Settings (Sign-in &amp; security page): change a value in place with a reason and see why it applies; a step-up key asks to confirm identity | BPMS-031, BPMS-027</t>
        </is>
      </c>
      <c r="D261" s="3" t="inlineStr">
        <is>
          <t>23-E2E-TEST-PLAN.md</t>
        </is>
      </c>
      <c r="E261" s="3" t="inlineStr">
        <is>
          <t>Not started</t>
        </is>
      </c>
    </row>
    <row r="262">
      <c r="A262" s="3" t="inlineStr">
        <is>
          <t>E2E scenarios (E2E)</t>
        </is>
      </c>
      <c r="B262" s="3" t="inlineStr">
        <is>
          <t>E2E-R1-UI-17</t>
        </is>
      </c>
      <c r="C262" s="3" t="inlineStr">
        <is>
          <t>Audit log: chain verified; filter by category; expand a record; open an object timeline; no-match state | BPMS-031, BPMS-064</t>
        </is>
      </c>
      <c r="D262" s="3" t="inlineStr">
        <is>
          <t>23-E2E-TEST-PLAN.md</t>
        </is>
      </c>
      <c r="E262" s="3" t="inlineStr">
        <is>
          <t>Not started</t>
        </is>
      </c>
    </row>
    <row r="263">
      <c r="A263" s="3" t="inlineStr">
        <is>
          <t>E2E scenarios (E2E)</t>
        </is>
      </c>
      <c r="B263" s="3" t="inlineStr">
        <is>
          <t>E2E-R1-UI-18</t>
        </is>
      </c>
      <c r="C263" s="3" t="inlineStr">
        <is>
          <t>The owner sets a review schedule, recertifies when it falls due, verifies and removes verification | BPMS-044</t>
        </is>
      </c>
      <c r="D263" s="3" t="inlineStr">
        <is>
          <t>23-E2E-TEST-PLAN.md</t>
        </is>
      </c>
      <c r="E263" s="3" t="inlineStr">
        <is>
          <t>Not started</t>
        </is>
      </c>
    </row>
    <row r="264">
      <c r="A264" s="3" t="inlineStr">
        <is>
          <t>E2E scenarios (E2E)</t>
        </is>
      </c>
      <c r="B264" s="3" t="inlineStr">
        <is>
          <t>E2E-R1-UI-19</t>
        </is>
      </c>
      <c r="C264" s="3" t="inlineStr">
        <is>
          <t>A member suggests a change; the owner accepts it and marks it implemented in v2 | BPMS-044</t>
        </is>
      </c>
      <c r="D264" s="3" t="inlineStr">
        <is>
          <t>23-E2E-TEST-PLAN.md</t>
        </is>
      </c>
      <c r="E264" s="3" t="inlineStr">
        <is>
          <t>Not started</t>
        </is>
      </c>
    </row>
    <row r="265">
      <c r="A265" s="3" t="inlineStr">
        <is>
          <t>E2E scenarios (E2E)</t>
        </is>
      </c>
      <c r="B265" s="3" t="inlineStr">
        <is>
          <t>E2E-R1-UI-20</t>
        </is>
      </c>
      <c r="C265" s="3" t="inlineStr">
        <is>
          <t>Compare v1 and v2 from the version history: word-level changes and the summary | BPMS-043</t>
        </is>
      </c>
      <c r="D265" s="3" t="inlineStr">
        <is>
          <t>23-E2E-TEST-PLAN.md</t>
        </is>
      </c>
      <c r="E265" s="3" t="inlineStr">
        <is>
          <t>Not started</t>
        </is>
      </c>
    </row>
    <row r="266">
      <c r="A266" s="3" t="inlineStr">
        <is>
          <t>E2E scenarios (E2E)</t>
        </is>
      </c>
      <c r="B266" s="3" t="inlineStr">
        <is>
          <t>E2E-R1-UI-21</t>
        </is>
      </c>
      <c r="C266" s="3" t="inlineStr">
        <is>
          <t>A member opens Policies, filters by category and follows "what changed" to the comparison | BPMS-045</t>
        </is>
      </c>
      <c r="D266" s="3" t="inlineStr">
        <is>
          <t>23-E2E-TEST-PLAN.md</t>
        </is>
      </c>
      <c r="E266" s="3" t="inlineStr">
        <is>
          <t>Not started</t>
        </is>
      </c>
    </row>
    <row r="267">
      <c r="A267" s="3" t="inlineStr">
        <is>
          <t>E2E scenarios (E2E)</t>
        </is>
      </c>
      <c r="B267" s="3" t="inlineStr">
        <is>
          <t>E2E-R1-UI-22</t>
        </is>
      </c>
      <c r="C267" s="3" t="inlineStr">
        <is>
          <t>A publisher restricts a policy to a role; a member outside it can't find it in Policies or open it | BPMS-045, A-14</t>
        </is>
      </c>
      <c r="D267" s="3" t="inlineStr">
        <is>
          <t>23-E2E-TEST-PLAN.md</t>
        </is>
      </c>
      <c r="E267" s="3" t="inlineStr">
        <is>
          <t>Not started</t>
        </is>
      </c>
    </row>
    <row r="268">
      <c r="A268" s="3" t="inlineStr">
        <is>
          <t>E2E scenarios (E2E)</t>
        </is>
      </c>
      <c r="B268" s="3" t="inlineStr">
        <is>
          <t>E2E-R1-UI-23</t>
        </is>
      </c>
      <c r="C268" s="3" t="inlineStr">
        <is>
          <t>An admin opens Overview: the summary and "Needs attention" show overdue acknowledgements, and the security strip shows one member without two-step verification; drilling in opens People &amp; access filtered to them; the Admins filter shows the owner | BPMS-063</t>
        </is>
      </c>
      <c r="D268" s="3" t="inlineStr">
        <is>
          <t>23-E2E-TEST-PLAN.md</t>
        </is>
      </c>
      <c r="E268" s="3" t="inlineStr">
        <is>
          <t>Not started</t>
        </is>
      </c>
    </row>
    <row r="269">
      <c r="A269" s="3" t="inlineStr">
        <is>
          <t>E2E scenarios (E2E)</t>
        </is>
      </c>
      <c r="B269" s="3" t="inlineStr">
        <is>
          <t>E2E-R1-UI-24</t>
        </is>
      </c>
      <c r="C269" s="3" t="inlineStr">
        <is>
          <t>An owner publishes v2 as a major change, sees who will be asked, then finds the campaign | BPMS-045</t>
        </is>
      </c>
      <c r="D269" s="3" t="inlineStr">
        <is>
          <t>23-E2E-TEST-PLAN.md</t>
        </is>
      </c>
      <c r="E269" s="3" t="inlineStr">
        <is>
          <t>Not started</t>
        </is>
      </c>
    </row>
    <row r="270">
      <c r="A270" s="3" t="inlineStr">
        <is>
          <t>E2E scenarios (E2E)</t>
        </is>
      </c>
      <c r="B270" s="3" t="inlineStr">
        <is>
          <t>E2E-R1-UI-25</t>
        </is>
      </c>
      <c r="C270" s="3" t="inlineStr">
        <is>
          <t>A member opens Notifications → Preferences, picks a daily digest and quiet hours, saves, sees them after a reload, and resets to the workspace defaults | BPMS-048</t>
        </is>
      </c>
      <c r="D270" s="3" t="inlineStr">
        <is>
          <t>23-E2E-TEST-PLAN.md</t>
        </is>
      </c>
      <c r="E270" s="3" t="inlineStr">
        <is>
          <t>Not started</t>
        </is>
      </c>
    </row>
    <row r="271">
      <c r="A271" s="3" t="inlineStr">
        <is>
          <t>E2E scenarios (E2E)</t>
        </is>
      </c>
      <c r="B271" s="3" t="inlineStr">
        <is>
          <t>E2E-R1-UI-26</t>
        </is>
      </c>
      <c r="C271" s="3" t="inlineStr">
        <is>
          <t>An admin opens Retention, sees each record class and a draft due for deletion, and shortens the draft period with a reason | BPMS-066</t>
        </is>
      </c>
      <c r="D271" s="3" t="inlineStr">
        <is>
          <t>23-E2E-TEST-PLAN.md</t>
        </is>
      </c>
      <c r="E271" s="3" t="inlineStr">
        <is>
          <t>Not started</t>
        </is>
      </c>
    </row>
    <row r="272">
      <c r="A272" s="3" t="inlineStr">
        <is>
          <t>E2E scenarios (E2E)</t>
        </is>
      </c>
      <c r="B272" s="3" t="inlineStr">
        <is>
          <t>E2E-R1-UI-27</t>
        </is>
      </c>
      <c r="C272" s="3" t="inlineStr">
        <is>
          <t>An admin creates a collection from the Library rail, files a document in it from the document page, sets the accountable person in RACI, and filters the Library by the collection | BPMS-041</t>
        </is>
      </c>
      <c r="D272" s="3" t="inlineStr">
        <is>
          <t>23-E2E-TEST-PLAN.md</t>
        </is>
      </c>
      <c r="E272" s="3" t="inlineStr">
        <is>
          <t>Not started</t>
        </is>
      </c>
    </row>
    <row r="273">
      <c r="A273" s="3" t="inlineStr">
        <is>
          <t>E2E scenarios (E2E)</t>
        </is>
      </c>
      <c r="B273" s="3" t="inlineStr">
        <is>
          <t>E2E-R1-UI-28</t>
        </is>
      </c>
      <c r="C273" s="3" t="inlineStr">
        <is>
          <t>An author uses the editor toolbar (bold, numbered steps, callout, table), saves, and the document renders them; the stored blocks match; axe on the editor and the result. UI-07 types markdown shortcuts into the editor | BPMS-042</t>
        </is>
      </c>
      <c r="D273" s="3" t="inlineStr">
        <is>
          <t>23-E2E-TEST-PLAN.md</t>
        </is>
      </c>
      <c r="E273" s="3" t="inlineStr">
        <is>
          <t>Not started</t>
        </is>
      </c>
    </row>
    <row r="274">
      <c r="A274" s="3" t="inlineStr">
        <is>
          <t>E2E scenarios (E2E)</t>
        </is>
      </c>
      <c r="B274" s="3" t="inlineStr">
        <is>
          <t>E2E-R1-UI-29</t>
        </is>
      </c>
      <c r="C274" s="3" t="inlineStr">
        <is>
          <t>An admin opens Encryption, sees version 1 in use, rotates the key with a reason, and sees version 2 in use | BPMS-030</t>
        </is>
      </c>
      <c r="D274" s="3" t="inlineStr">
        <is>
          <t>23-E2E-TEST-PLAN.md</t>
        </is>
      </c>
      <c r="E274" s="3" t="inlineStr">
        <is>
          <t>Not started</t>
        </is>
      </c>
    </row>
    <row r="275">
      <c r="A275" s="3" t="inlineStr">
        <is>
          <t>E2E scenarios (E2E)</t>
        </is>
      </c>
      <c r="B275" s="3" t="inlineStr">
        <is>
          <t>E2E-R1-UI-32</t>
        </is>
      </c>
      <c r="C275" s="3" t="inlineStr">
        <is>
          <t>An author attaches a file to a draft from the document page, sees it clean, and downloads it | BPMS-060</t>
        </is>
      </c>
      <c r="D275" s="3" t="inlineStr">
        <is>
          <t>23-E2E-TEST-PLAN.md</t>
        </is>
      </c>
      <c r="E275" s="3" t="inlineStr">
        <is>
          <t>Not started</t>
        </is>
      </c>
    </row>
    <row r="276">
      <c r="A276" s="3" t="inlineStr">
        <is>
          <t>E2E scenarios (E2E)</t>
        </is>
      </c>
      <c r="B276" s="3" t="inlineStr">
        <is>
          <t>E2E-R1-UI-33</t>
        </is>
      </c>
      <c r="C276" s="3" t="inlineStr">
        <is>
          <t>An EICAR upload on a document is refused with a quarantine message and shows as Quarantined (no download) in the Files view | BPMS-060/062</t>
        </is>
      </c>
      <c r="D276" s="3" t="inlineStr">
        <is>
          <t>23-E2E-TEST-PLAN.md</t>
        </is>
      </c>
      <c r="E276" s="3" t="inlineStr">
        <is>
          <t>Not started</t>
        </is>
      </c>
    </row>
    <row r="277">
      <c r="A277" s="3" t="inlineStr">
        <is>
          <t>E2E scenarios (E2E)</t>
        </is>
      </c>
      <c r="B277" s="3" t="inlineStr">
        <is>
          <t>E2E-R1-UI-34</t>
        </is>
      </c>
      <c r="C277" s="3" t="inlineStr">
        <is>
          <t>An author opens Preview on an image attachment: a dialog named after the file shows the image (axe clean); a text attachment also offers Preview (fallback, UI-69); Escape closes it and focus returns | BPMS-061</t>
        </is>
      </c>
      <c r="D277" s="3" t="inlineStr">
        <is>
          <t>23-E2E-TEST-PLAN.md</t>
        </is>
      </c>
      <c r="E277" s="3" t="inlineStr">
        <is>
          <t>Not started</t>
        </is>
      </c>
    </row>
    <row r="278">
      <c r="A278" s="3" t="inlineStr">
        <is>
          <t>E2E scenarios (E2E)</t>
        </is>
      </c>
      <c r="B278" s="3" t="inlineStr">
        <is>
          <t>E2E-R1-UI-38</t>
        </is>
      </c>
      <c r="C278" s="3" t="inlineStr">
        <is>
          <t>On the Library grid: build a Status filter (chip + count), sort by name descending, save the view, reload and get the same filter and order back with no modified marker, export a CSV with exactly the visible columns and rows | BPMS-028</t>
        </is>
      </c>
      <c r="D278" s="3" t="inlineStr">
        <is>
          <t>23-E2E-TEST-PLAN.md</t>
        </is>
      </c>
      <c r="E278" s="3" t="inlineStr">
        <is>
          <t>Not started</t>
        </is>
      </c>
    </row>
    <row r="279">
      <c r="A279" s="3" t="inlineStr">
        <is>
          <t>E2E scenarios (E2E)</t>
        </is>
      </c>
      <c r="B279" s="3" t="inlineStr">
        <is>
          <t>E2E-R1-UI-39</t>
        </is>
      </c>
      <c r="C279" s="3" t="inlineStr">
        <is>
          <t>An admin filters the Audit log to content events, starts a background export (dialog says it uses the current filters), sees it become Ready in Your exports, and downloads the CSV | BPMS-064</t>
        </is>
      </c>
      <c r="D279" s="3" t="inlineStr">
        <is>
          <t>23-E2E-TEST-PLAN.md</t>
        </is>
      </c>
      <c r="E279" s="3" t="inlineStr">
        <is>
          <t>Not started</t>
        </is>
      </c>
    </row>
    <row r="280">
      <c r="A280" s="3" t="inlineStr">
        <is>
          <t>E2E scenarios (E2E)</t>
        </is>
      </c>
      <c r="B280" s="3" t="inlineStr">
        <is>
          <t>E2E-R1-UI-30</t>
        </is>
      </c>
      <c r="C280" s="3" t="inlineStr">
        <is>
          <t>Add a passkey from Account › Security, sign out, sign in with password + passkey | BPMS-022</t>
        </is>
      </c>
      <c r="D280" s="3" t="inlineStr">
        <is>
          <t>23-E2E-TEST-PLAN.md</t>
        </is>
      </c>
      <c r="E280" s="3" t="inlineStr">
        <is>
          <t>Not started</t>
        </is>
      </c>
    </row>
    <row r="281">
      <c r="A281" s="3" t="inlineStr">
        <is>
          <t>E2E scenarios (E2E)</t>
        </is>
      </c>
      <c r="B281" s="3" t="inlineStr">
        <is>
          <t>E2E-R1-UI-31</t>
        </is>
      </c>
      <c r="C281" s="3" t="inlineStr">
        <is>
          <t>Removing a passkey asks to confirm it’s you; the passkey itself passes step-up | BPMS-022</t>
        </is>
      </c>
      <c r="D281" s="3" t="inlineStr">
        <is>
          <t>23-E2E-TEST-PLAN.md</t>
        </is>
      </c>
      <c r="E281" s="3" t="inlineStr">
        <is>
          <t>Not started</t>
        </is>
      </c>
    </row>
    <row r="282">
      <c r="A282" s="3" t="inlineStr">
        <is>
          <t>E2E scenarios (E2E)</t>
        </is>
      </c>
      <c r="B282" s="3" t="inlineStr">
        <is>
          <t>E2E-R1-UI-35</t>
        </is>
      </c>
      <c r="C282" s="3" t="inlineStr">
        <is>
          <t>Departments: from a setting's "Same for all departments" chip, override it for a parent department, see a child inherit it, then use the workspace value again | BPMS-027</t>
        </is>
      </c>
      <c r="D282" s="3" t="inlineStr">
        <is>
          <t>23-E2E-TEST-PLAN.md</t>
        </is>
      </c>
      <c r="E282" s="3" t="inlineStr">
        <is>
          <t>Not started</t>
        </is>
      </c>
    </row>
    <row r="283">
      <c r="A283" s="3" t="inlineStr">
        <is>
          <t>E2E scenarios (E2E)</t>
        </is>
      </c>
      <c r="B283" s="3" t="inlineStr">
        <is>
          <t>E2E-R1-UI-36</t>
        </is>
      </c>
      <c r="C283" s="3" t="inlineStr">
        <is>
          <t>Starting point: from the Settings index banner, preview a switch with every change, then switch with a reason | BPMS-027, CFG-017</t>
        </is>
      </c>
      <c r="D283" s="3" t="inlineStr">
        <is>
          <t>23-E2E-TEST-PLAN.md</t>
        </is>
      </c>
      <c r="E283" s="3" t="inlineStr">
        <is>
          <t>Not started</t>
        </is>
      </c>
    </row>
    <row r="284">
      <c r="A284" s="3" t="inlineStr">
        <is>
          <t>E2E scenarios (E2E)</t>
        </is>
      </c>
      <c r="B284" s="3" t="inlineStr">
        <is>
          <t>E2E-R1-UI-40</t>
        </is>
      </c>
      <c r="C284" s="3" t="inlineStr">
        <is>
          <t>A system admin finds a workspace, makes it read-only with a reason, and reactivates it | BPMS-065</t>
        </is>
      </c>
      <c r="D284" s="3" t="inlineStr">
        <is>
          <t>23-E2E-TEST-PLAN.md</t>
        </is>
      </c>
      <c r="E284" s="3" t="inlineStr">
        <is>
          <t>Not started</t>
        </is>
      </c>
    </row>
    <row r="285">
      <c r="A285" s="3" t="inlineStr">
        <is>
          <t>E2E scenarios (E2E)</t>
        </is>
      </c>
      <c r="B285" s="3" t="inlineStr">
        <is>
          <t>E2E-R1-UI-41</t>
        </is>
      </c>
      <c r="C285" s="3" t="inlineStr">
        <is>
          <t>Quotas, platform health and the system audit; non-system users never see the console | BPMS-065</t>
        </is>
      </c>
      <c r="D285" s="3" t="inlineStr">
        <is>
          <t>23-E2E-TEST-PLAN.md</t>
        </is>
      </c>
      <c r="E285" s="3" t="inlineStr">
        <is>
          <t>Not started</t>
        </is>
      </c>
    </row>
    <row r="286">
      <c r="A286" s="3" t="inlineStr">
        <is>
          <t>E2E scenarios (E2E)</t>
        </is>
      </c>
      <c r="B286" s="3" t="inlineStr">
        <is>
          <t>E2E-R1-UI-42</t>
        </is>
      </c>
      <c r="C286" s="3" t="inlineStr">
        <is>
          <t>With the API slowed down, every main page (Home, Library, Members, Campaigns, Manage announcements, Overview, People &amp; access, Settings, Audit log, Notifications) shows a content-shaped skeleton, then its content; a reload shows the app frame, never a blank page | UX-005</t>
        </is>
      </c>
      <c r="D286" s="3" t="inlineStr">
        <is>
          <t>23-E2E-TEST-PLAN.md</t>
        </is>
      </c>
      <c r="E286" s="3" t="inlineStr">
        <is>
          <t>Not started</t>
        </is>
      </c>
    </row>
    <row r="287">
      <c r="A287" s="3" t="inlineStr">
        <is>
          <t>E2E scenarios (E2E)</t>
        </is>
      </c>
      <c r="B287" s="3" t="inlineStr">
        <is>
          <t>E2E-R1-UI-43</t>
        </is>
      </c>
      <c r="C287" s="3" t="inlineStr">
        <is>
          <t>Files: a draft attachment shows retention class Draft and last accessed Never; downloading it updates last accessed; two unattached files are selected and deleted in bulk | BPMS-062</t>
        </is>
      </c>
      <c r="D287" s="3" t="inlineStr">
        <is>
          <t>23-E2E-TEST-PLAN.md</t>
        </is>
      </c>
      <c r="E287" s="3" t="inlineStr">
        <is>
          <t>Not started</t>
        </is>
      </c>
    </row>
    <row r="288">
      <c r="A288" s="3" t="inlineStr">
        <is>
          <t>E2E scenarios (E2E)</t>
        </is>
      </c>
      <c r="B288" s="3" t="inlineStr">
        <is>
          <t>E2E-R1-UI-44</t>
        </is>
      </c>
      <c r="C288" s="3" t="inlineStr">
        <is>
          <t>A reader opens Export on a published SOP (Print or PDF, Word, Markdown) and downloads a .docx | BPMS-042</t>
        </is>
      </c>
      <c r="D288" s="3" t="inlineStr">
        <is>
          <t>23-E2E-TEST-PLAN.md</t>
        </is>
      </c>
      <c r="E288" s="3" t="inlineStr">
        <is>
          <t>Not started</t>
        </is>
      </c>
    </row>
    <row r="289">
      <c r="A289" s="3" t="inlineStr">
        <is>
          <t>E2E scenarios (E2E)</t>
        </is>
      </c>
      <c r="B289" s="3" t="inlineStr">
        <is>
          <t>E2E-R1-UI-45</t>
        </is>
      </c>
      <c r="C289" s="3" t="inlineStr">
        <is>
          <t>An author inserts an image from the editor (upload, required description, caption), saves, and readers see it with its alt text after a reload | BPMS-042</t>
        </is>
      </c>
      <c r="D289" s="3" t="inlineStr">
        <is>
          <t>23-E2E-TEST-PLAN.md</t>
        </is>
      </c>
      <c r="E289" s="3" t="inlineStr">
        <is>
          <t>Not started</t>
        </is>
      </c>
    </row>
    <row r="290">
      <c r="A290" s="3" t="inlineStr">
        <is>
          <t>E2E scenarios (E2E)</t>
        </is>
      </c>
      <c r="B290" s="3" t="inlineStr">
        <is>
          <t>E2E-R1-UI-46</t>
        </is>
      </c>
      <c r="C290" s="3" t="inlineStr">
        <is>
          <t>A person opens Account › Profile from the account menu, changes their name and time zone, saves, and the shell and a reload show the new values | BPMS-021</t>
        </is>
      </c>
      <c r="D290" s="3" t="inlineStr">
        <is>
          <t>23-E2E-TEST-PLAN.md</t>
        </is>
      </c>
      <c r="E290" s="3" t="inlineStr">
        <is>
          <t>Not started</t>
        </is>
      </c>
    </row>
    <row r="291">
      <c r="A291" s="3" t="inlineStr">
        <is>
          <t>E2E scenarios (E2E)</t>
        </is>
      </c>
      <c r="B291" s="3" t="inlineStr">
        <is>
          <t>E2E-R1-UI-47</t>
        </is>
      </c>
      <c r="C291" s="3" t="inlineStr">
        <is>
          <t>An owner renames the workspace from Settings › General &amp; branding; the switcher shows the new name and it survives a reload (audited on both chains, AUD-01) | BPMS-020</t>
        </is>
      </c>
      <c r="D291" s="3" t="inlineStr">
        <is>
          <t>23-E2E-TEST-PLAN.md</t>
        </is>
      </c>
      <c r="E291" s="3" t="inlineStr">
        <is>
          <t>Not started</t>
        </is>
      </c>
    </row>
    <row r="292">
      <c r="A292" s="3" t="inlineStr">
        <is>
          <t>E2E scenarios (E2E)</t>
        </is>
      </c>
      <c r="B292" s="3" t="inlineStr">
        <is>
          <t>E2E-R1-UI-48</t>
        </is>
      </c>
      <c r="C292" s="3" t="inlineStr">
        <is>
          <t>A member who forgot their password asks for a link, opens it from the email, sets a new password, and signs in with it (the old one fails) | BPMS-021</t>
        </is>
      </c>
      <c r="D292" s="3" t="inlineStr">
        <is>
          <t>23-E2E-TEST-PLAN.md</t>
        </is>
      </c>
      <c r="E292" s="3" t="inlineStr">
        <is>
          <t>Not started</t>
        </is>
      </c>
    </row>
    <row r="293">
      <c r="A293" s="3" t="inlineStr">
        <is>
          <t>E2E scenarios (E2E)</t>
        </is>
      </c>
      <c r="B293" s="3" t="inlineStr">
        <is>
          <t>E2E-R1-UI-49</t>
        </is>
      </c>
      <c r="C293" s="3" t="inlineStr">
        <is>
          <t>A member changes their password from Account › Security; a wrong current password is refused on the field; the session stays signed in | BPMS-021</t>
        </is>
      </c>
      <c r="D293" s="3" t="inlineStr">
        <is>
          <t>23-E2E-TEST-PLAN.md</t>
        </is>
      </c>
      <c r="E293" s="3" t="inlineStr">
        <is>
          <t>Not started</t>
        </is>
      </c>
    </row>
    <row r="294">
      <c r="A294" s="3" t="inlineStr">
        <is>
          <t>E2E scenarios (E2E)</t>
        </is>
      </c>
      <c r="B294" s="3" t="inlineStr">
        <is>
          <t>E2E-R1-UI-50</t>
        </is>
      </c>
      <c r="C294" s="3" t="inlineStr">
        <is>
          <t>An owner requires a member to change their password (reason recorded); at the member's next sign-in they choose a new one and land on Home | BPMS-021</t>
        </is>
      </c>
      <c r="D294" s="3" t="inlineStr">
        <is>
          <t>23-E2E-TEST-PLAN.md</t>
        </is>
      </c>
      <c r="E294" s="3" t="inlineStr">
        <is>
          <t>Not started</t>
        </is>
      </c>
    </row>
    <row r="295">
      <c r="A295" s="3" t="inlineStr">
        <is>
          <t>E2E scenarios (E2E)</t>
        </is>
      </c>
      <c r="B295" s="3" t="inlineStr">
        <is>
          <t>E2E-R1-UI-51</t>
        </is>
      </c>
      <c r="C295" s="3" t="inlineStr">
        <is>
          <t>Departments (Admin → People): the empty state offers Add department and Import from CSV; an owner adds a department and one inside it with a head (a name with "/" is refused as typed), renames it inline, cannot delete the parent while it holds a sub-department (the dialog says what to move) nor move it under its own sub-department (not offered, with the reason), moves the child to the top level and deletes the now-empty parent | BPMS-023</t>
        </is>
      </c>
      <c r="D295" s="3" t="inlineStr">
        <is>
          <t>23-E2E-TEST-PLAN.md</t>
        </is>
      </c>
      <c r="E295" s="3" t="inlineStr">
        <is>
          <t>Not started</t>
        </is>
      </c>
    </row>
    <row r="296">
      <c r="A296" s="3" t="inlineStr">
        <is>
          <t>E2E scenarios (E2E)</t>
        </is>
      </c>
      <c r="B296" s="3" t="inlineStr">
        <is>
          <t>E2E-R1-UI-52</t>
        </is>
      </c>
      <c r="C296" s="3" t="inlineStr">
        <is>
          <t>Groups (Admin → People): the empty state explains groups versus departments; an owner creates a group with a purpose, adds two people with the multi-select picker (searchable), removes one after confirming, sees name, purpose and member count in the list, and deletes the group | BPMS-023</t>
        </is>
      </c>
      <c r="D296" s="3" t="inlineStr">
        <is>
          <t>23-E2E-TEST-PLAN.md</t>
        </is>
      </c>
      <c r="E296" s="3" t="inlineStr">
        <is>
          <t>Not started</t>
        </is>
      </c>
    </row>
    <row r="297">
      <c r="A297" s="3" t="inlineStr">
        <is>
          <t>E2E scenarios (E2E)</t>
        </is>
      </c>
      <c r="B297" s="3" t="inlineStr">
        <is>
          <t>E2E-R1-UI-53</t>
        </is>
      </c>
      <c r="C297" s="3" t="inlineStr">
        <is>
          <t>Person page: an owner edits a member's title, department, manager and location; adds them to a group and removes them after confirming; setting a manager that would create a reporting loop is refused with the reason; a role chip opens that role on Roles &amp; access | BPMS-023</t>
        </is>
      </c>
      <c r="D297" s="3" t="inlineStr">
        <is>
          <t>23-E2E-TEST-PLAN.md</t>
        </is>
      </c>
      <c r="E297" s="3" t="inlineStr">
        <is>
          <t>Not started</t>
        </is>
      </c>
    </row>
    <row r="298">
      <c r="A298" s="3" t="inlineStr">
        <is>
          <t>E2E scenarios (E2E)</t>
        </is>
      </c>
      <c r="B298" s="3" t="inlineStr">
        <is>
          <t>E2E-R1-UI-54</t>
        </is>
      </c>
      <c r="C298" s="3" t="inlineStr">
        <is>
          <t>An owner deactivates a member, then reactivates them: a reason is required, the dialog names the roles they get back, and an old sign-in must confirm it's them (step-up) first (docs/22 A-41); on Members, a pending invitation is resent (the old link stops working) and then revoked after confirming | BPMS-023</t>
        </is>
      </c>
      <c r="D298" s="3" t="inlineStr">
        <is>
          <t>23-E2E-TEST-PLAN.md</t>
        </is>
      </c>
      <c r="E298" s="3" t="inlineStr">
        <is>
          <t>Not started</t>
        </is>
      </c>
    </row>
    <row r="299">
      <c r="A299" s="3" t="inlineStr">
        <is>
          <t>E2E scenarios (E2E)</t>
        </is>
      </c>
      <c r="B299" s="3" t="inlineStr">
        <is>
          <t>E2E-R1-UI-55</t>
        </is>
      </c>
      <c r="C299" s="3" t="inlineStr">
        <is>
          <t>Members bulk actions: an owner selects two members and a pending invitation, sets their department (the dialog previews who moves and says the invitation is skipped), then adds the two to a group | BPMS-023</t>
        </is>
      </c>
      <c r="D299" s="3" t="inlineStr">
        <is>
          <t>23-E2E-TEST-PLAN.md</t>
        </is>
      </c>
      <c r="E299" s="3" t="inlineStr">
        <is>
          <t>Not started</t>
        </is>
      </c>
    </row>
    <row r="300">
      <c r="A300" s="3" t="inlineStr">
        <is>
          <t>E2E scenarios (E2E)</t>
        </is>
      </c>
      <c r="B300" s="3" t="inlineStr">
        <is>
          <t>E2E-R1-UI-56</t>
        </is>
      </c>
      <c r="C300" s="3" t="inlineStr">
        <is>
          <t>Roles for common jobs: an owner adds HR lead from the presets (custom role, A-43) and lands in the grant dialog | BPMS-024</t>
        </is>
      </c>
      <c r="D300" s="3" t="inlineStr">
        <is>
          <t>23-E2E-TEST-PLAN.md</t>
        </is>
      </c>
      <c r="E300" s="3" t="inlineStr">
        <is>
          <t>Not started</t>
        </is>
      </c>
    </row>
    <row r="301">
      <c r="A301" s="3" t="inlineStr">
        <is>
          <t>E2E scenarios (E2E)</t>
        </is>
      </c>
      <c r="B301" s="3" t="inlineStr">
        <is>
          <t>E2E-R1-UI-61</t>
        </is>
      </c>
      <c r="C301" s="3" t="inlineStr">
        <is>
          <t>Settings index: seven categories with descriptions and the starting point; search (synonyms) opens a setting on its category page; Advanced is collapsed; keys and choices for unshipped features are absent; a department override shows on the setting; a change in place counts on the index; old anchors redirect; axe on index and category | BPMS-027</t>
        </is>
      </c>
      <c r="D301" s="3" t="inlineStr">
        <is>
          <t>23-E2E-TEST-PLAN.md</t>
        </is>
      </c>
      <c r="E301" s="3" t="inlineStr">
        <is>
          <t>Not started</t>
        </is>
      </c>
    </row>
    <row r="302">
      <c r="A302" s="3" t="inlineStr">
        <is>
          <t>E2E scenarios (E2E)</t>
        </is>
      </c>
      <c r="B302" s="3" t="inlineStr">
        <is>
          <t>E2E-R1-UI-62</t>
        </is>
      </c>
      <c r="C302" s="3" t="inlineStr">
        <is>
          <t>Persona navigation: an employee's sidebar is Home, Library, Announcements (+ bell); an owner reaches grouped admin pages through Admin and comes back; Library and Announcements views are tabs with their own URLs | BPMS-031</t>
        </is>
      </c>
      <c r="D302" s="3" t="inlineStr">
        <is>
          <t>23-E2E-TEST-PLAN.md</t>
        </is>
      </c>
      <c r="E302" s="3" t="inlineStr">
        <is>
          <t>Not started</t>
        </is>
      </c>
    </row>
    <row r="303">
      <c r="A303" s="3" t="inlineStr">
        <is>
          <t>E2E scenarios (E2E)</t>
        </is>
      </c>
      <c r="B303" s="3" t="inlineStr">
        <is>
          <t>E2E-R1-UI-63</t>
        </is>
      </c>
      <c r="C303" s="3" t="inlineStr">
        <is>
          <t>Workspace onboarding: the owner's setup checklist on Home leads through /welcome (name and accent, starter packs, departments, invitations) and ticks steps from real data | BPMS-031</t>
        </is>
      </c>
      <c r="D303" s="3" t="inlineStr">
        <is>
          <t>23-E2E-TEST-PLAN.md</t>
        </is>
      </c>
      <c r="E303" s="3" t="inlineStr">
        <is>
          <t>Not started</t>
        </is>
      </c>
    </row>
    <row r="304">
      <c r="A304" s="3" t="inlineStr">
        <is>
          <t>E2E scenarios (E2E)</t>
        </is>
      </c>
      <c r="B304" s="3" t="inlineStr">
        <is>
          <t>E2E-R1-UI-64</t>
        </is>
      </c>
      <c r="C304" s="3" t="inlineStr">
        <is>
          <t>System › Email &amp; platform: save SMTP settings (password write-only, "Leave blank to keep the current password"), a test send to a closed port explains the refusal, both audited; platform basics, storage and scanning shown read-only. E2E builds deliver only through PROCERA_SMTP_URL, so saved settings never drain the shared queue | BPMS-065</t>
        </is>
      </c>
      <c r="D304" s="3" t="inlineStr">
        <is>
          <t>23-E2E-TEST-PLAN.md</t>
        </is>
      </c>
      <c r="E304" s="3" t="inlineStr">
        <is>
          <t>Not started</t>
        </is>
      </c>
    </row>
    <row r="305">
      <c r="A305" s="3" t="inlineStr">
        <is>
          <t>E2E scenarios (E2E)</t>
        </is>
      </c>
      <c r="B305" s="3" t="inlineStr">
        <is>
          <t>E2E-R1-UI-65</t>
        </is>
      </c>
      <c r="C305" s="3" t="inlineStr">
        <is>
          <t>First-time setup continues at /system/setup: an optional email step (skippable) and Create your first workspace, ending with the owner's invitation | BPMS-065</t>
        </is>
      </c>
      <c r="D305" s="3" t="inlineStr">
        <is>
          <t>23-E2E-TEST-PLAN.md</t>
        </is>
      </c>
      <c r="E305" s="3" t="inlineStr">
        <is>
          <t>Not started</t>
        </is>
      </c>
    </row>
    <row r="306">
      <c r="A306" s="3" t="inlineStr">
        <is>
          <t>E2E scenarios (E2E)</t>
        </is>
      </c>
      <c r="B306" s="3" t="inlineStr">
        <is>
          <t>E2E-R1-UI-66</t>
        </is>
      </c>
      <c r="C306" s="3" t="inlineStr">
        <is>
          <t>A two-page PDF previews with pdf.js: Page 1 of 2, next/previous, 100 %, zoom in/out (125 %, 75 %), Fit width, arrow/Home/End keys on the page region, search jumps to the matching page; axe clean | BPMS-061</t>
        </is>
      </c>
      <c r="D306" s="3" t="inlineStr">
        <is>
          <t>23-E2E-TEST-PLAN.md</t>
        </is>
      </c>
      <c r="E306" s="3" t="inlineStr">
        <is>
          <t>Not started</t>
        </is>
      </c>
    </row>
    <row r="307">
      <c r="A307" s="3" t="inlineStr">
        <is>
          <t>E2E scenarios (E2E)</t>
        </is>
      </c>
      <c r="B307" s="3" t="inlineStr">
        <is>
          <t>E2E-R1-UI-67</t>
        </is>
      </c>
      <c r="C307" s="3" t="inlineStr">
        <is>
          <t>A DOCX previews its paragraphs in a `sandbox="allow-same-origin"` frame; its external hyperlink keeps the words but no element has `href`, `src` or a script; axe clean | BPMS-061</t>
        </is>
      </c>
      <c r="D307" s="3" t="inlineStr">
        <is>
          <t>23-E2E-TEST-PLAN.md</t>
        </is>
      </c>
      <c r="E307" s="3" t="inlineStr">
        <is>
          <t>Not started</t>
        </is>
      </c>
    </row>
    <row r="308">
      <c r="A308" s="3" t="inlineStr">
        <is>
          <t>E2E scenarios (E2E)</t>
        </is>
      </c>
      <c r="B308" s="3" t="inlineStr">
        <is>
          <t>E2E-R1-UI-68</t>
        </is>
      </c>
      <c r="C308" s="3" t="inlineStr">
        <is>
          <t>A CSV shows a read-only table (quoted comma field, row numbers, "Read-only. 3 rows."); a two-sheet XLSX shows Q1, and the Sheets tabs switch to Q2; axe clean | BPMS-061</t>
        </is>
      </c>
      <c r="D308" s="3" t="inlineStr">
        <is>
          <t>23-E2E-TEST-PLAN.md</t>
        </is>
      </c>
      <c r="E308" s="3" t="inlineStr">
        <is>
          <t>Not started</t>
        </is>
      </c>
    </row>
    <row r="309">
      <c r="A309" s="3" t="inlineStr">
        <is>
          <t>E2E scenarios (E2E)</t>
        </is>
      </c>
      <c r="B309" s="3" t="inlineStr">
        <is>
          <t>E2E-R1-UI-69</t>
        </is>
      </c>
      <c r="C309" s="3" t="inlineStr">
        <is>
          <t>A .txt and a zip posing as .docx (no `word/document.xml`; its preview link is 415) both show "No preview for this type — download it." with name, size, type and Download; axe clean | BPMS-061</t>
        </is>
      </c>
      <c r="D309" s="3" t="inlineStr">
        <is>
          <t>23-E2E-TEST-PLAN.md</t>
        </is>
      </c>
      <c r="E309" s="3" t="inlineStr">
        <is>
          <t>Not started</t>
        </is>
      </c>
    </row>
    <row r="310">
      <c r="A310" s="3" t="inlineStr">
        <is>
          <t>E2E scenarios (E2E)</t>
        </is>
      </c>
      <c r="B310" s="3" t="inlineStr">
        <is>
          <t>E2E-R1-UI-71</t>
        </is>
      </c>
      <c r="C310" s="3" t="inlineStr">
        <is>
          <t>Copy owner invite link (no email set up): after creating a workspace and again from its row the system admin gets a one-time link; the newer link opens the join page, the earlier one no longer works; both copies on the system audit | BPMS-020</t>
        </is>
      </c>
      <c r="D310" s="3" t="inlineStr">
        <is>
          <t>23-E2E-TEST-PLAN.md</t>
        </is>
      </c>
      <c r="E310" s="3" t="inlineStr">
        <is>
          <t>Not started</t>
        </is>
      </c>
    </row>
    <row r="311">
      <c r="A311" s="3" t="inlineStr">
        <is>
          <t>E2E scenarios (E2E)</t>
        </is>
      </c>
      <c r="B311" s="3" t="inlineStr">
        <is>
          <t>E2E-R1-UI-72</t>
        </is>
      </c>
      <c r="C311" s="3" t="inlineStr">
        <is>
          <t>Copy invite link on Members for a pending invitation: the dialog shows the link and who it is for; it opens the join page; the token never appears in the invitation list | BPMS-023</t>
        </is>
      </c>
      <c r="D311" s="3" t="inlineStr">
        <is>
          <t>23-E2E-TEST-PLAN.md</t>
        </is>
      </c>
      <c r="E311" s="3" t="inlineStr">
        <is>
          <t>Not started</t>
        </is>
      </c>
    </row>
    <row r="312">
      <c r="A312" s="3" t="inlineStr">
        <is>
          <t>E2E scenarios (E2E)</t>
        </is>
      </c>
      <c r="B312" s="3" t="inlineStr">
        <is>
          <t>E2E-R1-UI-73</t>
        </is>
      </c>
      <c r="C312" s="3" t="inlineStr">
        <is>
          <t>Reading view: a plain member sees title, version and published date, owner, the acknowledgement callout and the text; Status, Collection, Review and Verified are hidden and Fingerprint and Next review sit under "Details"; the owner still sees the governance rows | BPMS-040</t>
        </is>
      </c>
      <c r="D312" s="3" t="inlineStr">
        <is>
          <t>23-E2E-TEST-PLAN.md</t>
        </is>
      </c>
      <c r="E312" s="3" t="inlineStr">
        <is>
          <t>Not started</t>
        </is>
      </c>
    </row>
    <row r="313">
      <c r="A313" s="3" t="inlineStr">
        <is>
          <t>E2E scenarios (E2E)</t>
        </is>
      </c>
      <c r="B313" s="3" t="inlineStr">
        <is>
          <t>E2E-R1-UI-74</t>
        </is>
      </c>
      <c r="C313" s="3" t="inlineStr">
        <is>
          <t>Leaving the organisation: Deactivate is a 3-step dialog (Review what they hold, Hand over defaulting to their manager, Confirm); the document and the direct report are handed over through the audited endpoints and their pending acknowledgement closes as "left", outside the campaign counts | BPMS-023</t>
        </is>
      </c>
      <c r="D313" s="3" t="inlineStr">
        <is>
          <t>23-E2E-TEST-PLAN.md</t>
        </is>
      </c>
      <c r="E313" s="3" t="inlineStr">
        <is>
          <t>Not started</t>
        </is>
      </c>
    </row>
    <row r="314">
      <c r="A314" s="3" t="inlineStr">
        <is>
          <t>E2E scenarios (E2E)</t>
        </is>
      </c>
      <c r="B314" s="3" t="inlineStr">
        <is>
          <t>E2E-R1-UI-75</t>
        </is>
      </c>
      <c r="C314" s="3" t="inlineStr">
        <is>
          <t>Department page: the selected department lists its people as links and, before Delete, "Used by" shows the role grants scoped to it and the campaigns whose audience names it; the members list carries `department_id` | BPMS-023</t>
        </is>
      </c>
      <c r="D314" s="3" t="inlineStr">
        <is>
          <t>23-E2E-TEST-PLAN.md</t>
        </is>
      </c>
      <c r="E314" s="3" t="inlineStr">
        <is>
          <t>Not started</t>
        </is>
      </c>
    </row>
    <row r="315">
      <c r="A315" s="3" t="inlineStr">
        <is>
          <t>E2E scenarios (E2E)</t>
        </is>
      </c>
      <c r="B315" s="3" t="inlineStr">
        <is>
          <t>E2E-R1-UI-76</t>
        </is>
      </c>
      <c r="C315" s="3" t="inlineStr">
        <is>
          <t>System console › Policy floors: floors are grouped under the Settings categories with a plain-words meaning; a system admin whose sign-in is older than 5 minutes raises the minimum password length with a reason, confirms it's them, sees the new floor and the `platform.floor_changed` event in System audit | BPMS-065</t>
        </is>
      </c>
      <c r="D315" s="3" t="inlineStr">
        <is>
          <t>23-E2E-TEST-PLAN.md</t>
        </is>
      </c>
      <c r="E315" s="3" t="inlineStr">
        <is>
          <t>Not started</t>
        </is>
      </c>
    </row>
    <row r="316">
      <c r="A316" s="3" t="inlineStr">
        <is>
          <t>E2E scenarios (E2E)</t>
        </is>
      </c>
      <c r="B316" s="3" t="inlineStr">
        <is>
          <t>E2E-R1-UI-77</t>
        </is>
      </c>
      <c r="C316" s="3" t="inlineStr">
        <is>
          <t>Policy floors read-only for a system auditor: the page lists the floors with a "Read only" notice and no Edit buttons; the API answers 403 to a change | BPMS-065</t>
        </is>
      </c>
      <c r="D316" s="3" t="inlineStr">
        <is>
          <t>23-E2E-TEST-PLAN.md</t>
        </is>
      </c>
      <c r="E316" s="3" t="inlineStr">
        <is>
          <t>Not started</t>
        </is>
      </c>
    </row>
    <row r="317">
      <c r="A317" s="3" t="inlineStr">
        <is>
          <t>E2E scenarios (E2E)</t>
        </is>
      </c>
      <c r="B317" s="3" t="inlineStr">
        <is>
          <t>E2E-R1-FLOW-01</t>
        </is>
      </c>
      <c r="C317" s="3" t="inlineStr">
        <is>
          <t>Onboarding start to finish: the owner invites from Members; the invitee opens the link from the email, creates an account (password confirmation checked) and lands on Home in the workspace; the link then no longer works; the owner sees them Active and opens their person page | BPMS-023</t>
        </is>
      </c>
      <c r="D317" s="3" t="inlineStr">
        <is>
          <t>23-E2E-TEST-PLAN.md</t>
        </is>
      </c>
      <c r="E317" s="3" t="inlineStr">
        <is>
          <t>Not started</t>
        </is>
      </c>
    </row>
    <row r="318">
      <c r="A318" s="3" t="inlineStr">
        <is>
          <t>E2E scenarios (E2E)</t>
        </is>
      </c>
      <c r="B318" s="3" t="inlineStr">
        <is>
          <t>E2E-R1-FLOW-02</t>
        </is>
      </c>
      <c r="C318" s="3" t="inlineStr">
        <is>
          <t>Someone with an account opens the invitation email, signs in from the page, comes back to it and joins with one click; an unknown link explains itself | BPMS-023</t>
        </is>
      </c>
      <c r="D318" s="3" t="inlineStr">
        <is>
          <t>23-E2E-TEST-PLAN.md</t>
        </is>
      </c>
      <c r="E318" s="3" t="inlineStr">
        <is>
          <t>Not started</t>
        </is>
      </c>
    </row>
    <row r="319">
      <c r="A319" s="3" t="inlineStr">
        <is>
          <t>E2E scenarios (E2E)</t>
        </is>
      </c>
      <c r="B319" s="3" t="inlineStr">
        <is>
          <t>E2E-R1-FLOW-03</t>
        </is>
      </c>
      <c r="C319" s="3" t="inlineStr">
        <is>
          <t>Policy to evidence: the owner writes and publishes a policy and launches a campaign; a colleague (invited the same way) sees the task on Home, opens the acknowledgement email link, acknowledges on the document; the owner sees them Done, 1 of 2, and downloads the evidence CSV | BPMS-040, 046</t>
        </is>
      </c>
      <c r="D319" s="3" t="inlineStr">
        <is>
          <t>23-E2E-TEST-PLAN.md</t>
        </is>
      </c>
      <c r="E319" s="3" t="inlineStr">
        <is>
          <t>Not started</t>
        </is>
      </c>
    </row>
    <row r="320">
      <c r="A320" s="3" t="inlineStr">
        <is>
          <t>E2E scenarios (E2E)</t>
        </is>
      </c>
      <c r="B320" s="3" t="inlineStr">
        <is>
          <t>E2E-R1-FLOW-04</t>
        </is>
      </c>
      <c r="C320" s="3" t="inlineStr">
        <is>
          <t>Announcement: the owner composes a critical post that needs acknowledgement and publishes it; a colleague opens the email link while signed out, signs in, lands on the open post and confirms; the owner sees the receipt | BPMS-047</t>
        </is>
      </c>
      <c r="D320" s="3" t="inlineStr">
        <is>
          <t>23-E2E-TEST-PLAN.md</t>
        </is>
      </c>
      <c r="E320" s="3" t="inlineStr">
        <is>
          <t>Not started</t>
        </is>
      </c>
    </row>
    <row r="321">
      <c r="A321" s="3" t="inlineStr">
        <is>
          <t>E2E scenarios (E2E)</t>
        </is>
      </c>
      <c r="B321" s="3" t="inlineStr">
        <is>
          <t>E2E-R1-FLOW-05</t>
        </is>
      </c>
      <c r="C321" s="3" t="inlineStr">
        <is>
          <t>Review loop: the owner submits a controlled policy; the reviewer (invited as Reviewer) gets the review email, opens it and requests changes with a comment; the owner gets a notification quoting it, edits and resubmits; the reviewer approves from Home; the owner is told it is approved and publishes | BPMS-040</t>
        </is>
      </c>
      <c r="D321" s="3" t="inlineStr">
        <is>
          <t>23-E2E-TEST-PLAN.md</t>
        </is>
      </c>
      <c r="E321" s="3" t="inlineStr">
        <is>
          <t>Not started</t>
        </is>
      </c>
    </row>
    <row r="322">
      <c r="A322" s="3" t="inlineStr">
        <is>
          <t>E2E scenarios (E2E)</t>
        </is>
      </c>
      <c r="B322" s="3" t="inlineStr">
        <is>
          <t>E2E-R1-FLOW-06</t>
        </is>
      </c>
      <c r="C322" s="3" t="inlineStr">
        <is>
          <t>Announcement approval: a second admin joins from the invitation and turns on two-step verification; the owner sends a workspace-wide post for approval; the admin gets the approval email, opens it and sends it back with a note; the owner gets a notification with the note, edits and resubmits; the admin approves and publishes; the owner is told; the post is in the feed | BPMS-047</t>
        </is>
      </c>
      <c r="D322" s="3" t="inlineStr">
        <is>
          <t>23-E2E-TEST-PLAN.md</t>
        </is>
      </c>
      <c r="E322" s="3" t="inlineStr">
        <is>
          <t>Not started</t>
        </is>
      </c>
    </row>
    <row r="323">
      <c r="A323" s="3" t="inlineStr">
        <is>
          <t>E2E scenarios (E2E)</t>
        </is>
      </c>
      <c r="B323" s="3" t="inlineStr">
        <is>
          <t>E2E-R1-CMP-01</t>
        </is>
      </c>
      <c r="C323" s="3" t="inlineStr">
        <is>
          <t>Launching a campaign snapshots the audience (department) and notifies each assignee in-app and by email; non-audience members get nothing; draft preview counts the audience | FR-AK01, FR-AK02, FR-AN05</t>
        </is>
      </c>
      <c r="D323" s="3" t="inlineStr">
        <is>
          <t>23-E2E-TEST-PLAN.md</t>
        </is>
      </c>
      <c r="E323" s="3" t="inlineStr">
        <is>
          <t>Not started</t>
        </is>
      </c>
    </row>
    <row r="324">
      <c r="A324" s="3" t="inlineStr">
        <is>
          <t>E2E scenarios (E2E)</t>
        </is>
      </c>
      <c r="B324" s="3" t="inlineStr">
        <is>
          <t>E2E-R1-CMP-02</t>
        </is>
      </c>
      <c r="C324" s="3" t="inlineStr">
        <is>
          <t>Acknowledging records the exact version id, content hash and statement; a stale hash is refused (409 content_changed); progress counts update | FR-AK01, FR-PL03, FR-AK04</t>
        </is>
      </c>
      <c r="D324" s="3" t="inlineStr">
        <is>
          <t>23-E2E-TEST-PLAN.md</t>
        </is>
      </c>
      <c r="E324" s="3" t="inlineStr">
        <is>
          <t>Not started</t>
        </is>
      </c>
    </row>
    <row r="325">
      <c r="A325" s="3" t="inlineStr">
        <is>
          <t>E2E scenarios (E2E)</t>
        </is>
      </c>
      <c r="B325" s="3" t="inlineStr">
        <is>
          <t>E2E-R1-CMP-03</t>
        </is>
      </c>
      <c r="C325" s="3" t="inlineStr">
        <is>
          <t>Only the assignee can acknowledge (others 404), only once (409), only while active; close/cancel rules | FR-AK01, docs/12 §5</t>
        </is>
      </c>
      <c r="D325" s="3" t="inlineStr">
        <is>
          <t>23-E2E-TEST-PLAN.md</t>
        </is>
      </c>
      <c r="E325" s="3" t="inlineStr">
        <is>
          <t>Not started</t>
        </is>
      </c>
    </row>
    <row r="326">
      <c r="A326" s="3" t="inlineStr">
        <is>
          <t>E2E scenarios (E2E)</t>
        </is>
      </c>
      <c r="B326" s="3" t="inlineStr">
        <is>
          <t>E2E-R1-CMP-04</t>
        </is>
      </c>
      <c r="C326" s="3" t="inlineStr">
        <is>
          <t>Reminder ladder and manager escalation run by the scheduler via drain; overdue list and counts; overdue can still be acknowledged | FR-AK01, FR-AN04</t>
        </is>
      </c>
      <c r="D326" s="3" t="inlineStr">
        <is>
          <t>23-E2E-TEST-PLAN.md</t>
        </is>
      </c>
      <c r="E326" s="3" t="inlineStr">
        <is>
          <t>Not started</t>
        </is>
      </c>
    </row>
    <row r="327">
      <c r="A327" s="3" t="inlineStr">
        <is>
          <t>E2E scenarios (E2E)</t>
        </is>
      </c>
      <c r="B327" s="3" t="inlineStr">
        <is>
          <t>E2E-R1-CMP-05</t>
        </is>
      </c>
      <c r="C327" s="3" t="inlineStr">
        <is>
          <t>A new member matching a dynamic audience is enrolled (own window); at-launch campaigns stay fixed | FR-AK03</t>
        </is>
      </c>
      <c r="D327" s="3" t="inlineStr">
        <is>
          <t>23-E2E-TEST-PLAN.md</t>
        </is>
      </c>
      <c r="E327" s="3" t="inlineStr">
        <is>
          <t>Not started</t>
        </is>
      </c>
    </row>
    <row r="328">
      <c r="A328" s="3" t="inlineStr">
        <is>
          <t>E2E scenarios (E2E)</t>
        </is>
      </c>
      <c r="B328" s="3" t="inlineStr">
        <is>
          <t>E2E-R1-CMP-06</t>
        </is>
      </c>
      <c r="C328" s="3" t="inlineStr">
        <is>
          <t>Evidence CSV lists every assignee with department, timestamps, version, content hash and auth method; members cannot export | FR-AK04, CMP-03</t>
        </is>
      </c>
      <c r="D328" s="3" t="inlineStr">
        <is>
          <t>23-E2E-TEST-PLAN.md</t>
        </is>
      </c>
      <c r="E328" s="3" t="inlineStr">
        <is>
          <t>Not started</t>
        </is>
      </c>
    </row>
    <row r="329">
      <c r="A329" s="3" t="inlineStr">
        <is>
          <t>E2E scenarios (E2E)</t>
        </is>
      </c>
      <c r="B329" s="3" t="inlineStr">
        <is>
          <t>E2E-R1-CMP-07</t>
        </is>
      </c>
      <c r="C329" s="3" t="inlineStr">
        <is>
          <t>Members cannot manage or track campaigns; a compliance officer can; draft version 409, empty audience 422; another workspace gets 404 | docs/12 §5</t>
        </is>
      </c>
      <c r="D329" s="3" t="inlineStr">
        <is>
          <t>23-E2E-TEST-PLAN.md</t>
        </is>
      </c>
      <c r="E329" s="3" t="inlineStr">
        <is>
          <t>Not started</t>
        </is>
      </c>
    </row>
    <row r="330">
      <c r="A330" s="3" t="inlineStr">
        <is>
          <t>E2E scenarios (E2E)</t>
        </is>
      </c>
      <c r="B330" s="3" t="inlineStr">
        <is>
          <t>E2E-R1-ANN-01</t>
        </is>
      </c>
      <c r="C330" s="3" t="inlineStr">
        <is>
          <t>Compose → edit with If-Match → publish to a department: only its members see it; first read recorded; in-app + email delivery after drain; edits after publish 409; content hash frozen | FR-AN01..03, FR-AN05</t>
        </is>
      </c>
      <c r="D330" s="3" t="inlineStr">
        <is>
          <t>23-E2E-TEST-PLAN.md</t>
        </is>
      </c>
      <c r="E330" s="3" t="inlineStr">
        <is>
          <t>Not started</t>
        </is>
      </c>
    </row>
    <row r="331">
      <c r="A331" s="3" t="inlineStr">
        <is>
          <t>E2E scenarios (E2E)</t>
        </is>
      </c>
      <c r="B331" s="3" t="inlineStr">
        <is>
          <t>E2E-R1-ANN-02</t>
        </is>
      </c>
      <c r="C331" s="3" t="inlineStr">
        <is>
          <t>Workspace-wide posts need approval; self-approval 403 sod_violation; publisher approves; reject needs a comment and returns the draft | FX-C01, FR-AN02</t>
        </is>
      </c>
      <c r="D331" s="3" t="inlineStr">
        <is>
          <t>23-E2E-TEST-PLAN.md</t>
        </is>
      </c>
      <c r="E331" s="3" t="inlineStr">
        <is>
          <t>Not started</t>
        </is>
      </c>
    </row>
    <row r="332">
      <c r="A332" s="3" t="inlineStr">
        <is>
          <t>E2E scenarios (E2E)</t>
        </is>
      </c>
      <c r="B332" s="3" t="inlineStr">
        <is>
          <t>E2E-R1-ANN-03</t>
        </is>
      </c>
      <c r="C332" s="3" t="inlineStr">
        <is>
          <t>Scheduled announcement goes live after clock + drain; expiry removes it from feeds (state stays published, expired: true) | FR-AN03</t>
        </is>
      </c>
      <c r="D332" s="3" t="inlineStr">
        <is>
          <t>23-E2E-TEST-PLAN.md</t>
        </is>
      </c>
      <c r="E332" s="3" t="inlineStr">
        <is>
          <t>Not started</t>
        </is>
      </c>
    </row>
    <row r="333">
      <c r="A333" s="3" t="inlineStr">
        <is>
          <t>E2E scenarios (E2E)</t>
        </is>
      </c>
      <c r="B333" s="3" t="inlineStr">
        <is>
          <t>E2E-R1-ANN-04</t>
        </is>
      </c>
      <c r="C333" s="3" t="inlineStr">
        <is>
          <t>Required ack on a critical announcement; idempotent ack; analytics reconcile by department; archive needs a reason | FR-AN04, FR-AN06</t>
        </is>
      </c>
      <c r="D333" s="3" t="inlineStr">
        <is>
          <t>23-E2E-TEST-PLAN.md</t>
        </is>
      </c>
      <c r="E333" s="3" t="inlineStr">
        <is>
          <t>Not started</t>
        </is>
      </c>
    </row>
    <row r="334">
      <c r="A334" s="3" t="inlineStr">
        <is>
          <t>E2E scenarios (E2E)</t>
        </is>
      </c>
      <c r="B334" s="3" t="inlineStr">
        <is>
          <t>E2E-R1-ANN-05</t>
        </is>
      </c>
      <c r="C334" s="3" t="inlineStr">
        <is>
          <t>Permissions and isolation: members read the feed but cannot compose; authors see only their drafts; other workspaces 404 | docs/12 §5</t>
        </is>
      </c>
      <c r="D334" s="3" t="inlineStr">
        <is>
          <t>23-E2E-TEST-PLAN.md</t>
        </is>
      </c>
      <c r="E334" s="3" t="inlineStr">
        <is>
          <t>Not started</t>
        </is>
      </c>
    </row>
    <row r="335">
      <c r="A335" s="3" t="inlineStr">
        <is>
          <t>E2E scenarios (E2E)</t>
        </is>
      </c>
      <c r="B335" s="3" t="inlineStr">
        <is>
          <t>E2E-R1-ANN-06</t>
        </is>
      </c>
      <c r="C335" s="3" t="inlineStr">
        <is>
          <t>Settings drive approval, ack default, expiry default and the enabled switch | docs/20 §2.17</t>
        </is>
      </c>
      <c r="D335" s="3" t="inlineStr">
        <is>
          <t>23-E2E-TEST-PLAN.md</t>
        </is>
      </c>
      <c r="E335" s="3" t="inlineStr">
        <is>
          <t>Not started</t>
        </is>
      </c>
    </row>
    <row r="336">
      <c r="A336" s="3" t="inlineStr">
        <is>
          <t>E2E scenarios (E2E)</t>
        </is>
      </c>
      <c r="B336" s="3" t="inlineStr">
        <is>
          <t>E2E-R1-SRCH-01</t>
        </is>
      </c>
      <c r="C336" s="3" t="inlineStr">
        <is>
          <t>Ranked results across SOPs, policies, people, departments, groups; escaped highlighted snippets; typo and prefix matches; type filter; validation errors | BPMS-049, docs/05 §2.4</t>
        </is>
      </c>
      <c r="D336" s="3" t="inlineStr">
        <is>
          <t>23-E2E-TEST-PLAN.md</t>
        </is>
      </c>
      <c r="E336" s="3" t="inlineStr">
        <is>
          <t>Not started</t>
        </is>
      </c>
    </row>
    <row r="337">
      <c r="A337" s="3" t="inlineStr">
        <is>
          <t>E2E scenarios (E2E)</t>
        </is>
      </c>
      <c r="B337" s="3" t="inlineStr">
        <is>
          <t>E2E-R1-SRCH-02</t>
        </is>
      </c>
      <c r="C337" s="3" t="inlineStr">
        <is>
          <t>A SOP-only role sees only SOP results; other types filtered on the server | docs/12 §3</t>
        </is>
      </c>
      <c r="D337" s="3" t="inlineStr">
        <is>
          <t>23-E2E-TEST-PLAN.md</t>
        </is>
      </c>
      <c r="E337" s="3" t="inlineStr">
        <is>
          <t>Not started</t>
        </is>
      </c>
    </row>
    <row r="338">
      <c r="A338" s="3" t="inlineStr">
        <is>
          <t>E2E scenarios (E2E)</t>
        </is>
      </c>
      <c r="B338" s="3" t="inlineStr">
        <is>
          <t>E2E-R1-SRCH-03</t>
        </is>
      </c>
      <c r="C338" s="3" t="inlineStr">
        <is>
          <t>Another workspace's content is never found; draft edits are searchable at once | docs/06 T-22</t>
        </is>
      </c>
      <c r="D338" s="3" t="inlineStr">
        <is>
          <t>23-E2E-TEST-PLAN.md</t>
        </is>
      </c>
      <c r="E338" s="3" t="inlineStr">
        <is>
          <t>Not started</t>
        </is>
      </c>
    </row>
    <row r="339">
      <c r="A339" s="3" t="inlineStr">
        <is>
          <t>E2E scenarios (E2E)</t>
        </is>
      </c>
      <c r="B339" s="3" t="inlineStr">
        <is>
          <t>E2E-R1-AUDX-01</t>
        </is>
      </c>
      <c r="C339" s="3" t="inlineStr">
        <is>
          <t>Explorer filters, newest-first keyset pagination without duplicates, actor names, validation | BPMS-064, FR-T03</t>
        </is>
      </c>
      <c r="D339" s="3" t="inlineStr">
        <is>
          <t>23-E2E-TEST-PLAN.md</t>
        </is>
      </c>
      <c r="E339" s="3" t="inlineStr">
        <is>
          <t>Not started</t>
        </is>
      </c>
    </row>
    <row r="340">
      <c r="A340" s="3" t="inlineStr">
        <is>
          <t>E2E scenarios (E2E)</t>
        </is>
      </c>
      <c r="B340" s="3" t="inlineStr">
        <is>
          <t>E2E-R1-AUDX-02</t>
        </is>
      </c>
      <c r="C340" s="3" t="inlineStr">
        <is>
          <t>audit:view_own sees only own events; verify/export forbidden; no permission 403 | docs/12 §5</t>
        </is>
      </c>
      <c r="D340" s="3" t="inlineStr">
        <is>
          <t>23-E2E-TEST-PLAN.md</t>
        </is>
      </c>
      <c r="E340" s="3" t="inlineStr">
        <is>
          <t>Not started</t>
        </is>
      </c>
    </row>
    <row r="341">
      <c r="A341" s="3" t="inlineStr">
        <is>
          <t>E2E scenarios (E2E)</t>
        </is>
      </c>
      <c r="B341" s="3" t="inlineStr">
        <is>
          <t>E2E-R1-AUDX-03</t>
        </is>
      </c>
      <c r="C341" s="3" t="inlineStr">
        <is>
          <t>Artifact timeline covers all versions, oldest first | FR-T04</t>
        </is>
      </c>
      <c r="D341" s="3" t="inlineStr">
        <is>
          <t>23-E2E-TEST-PLAN.md</t>
        </is>
      </c>
      <c r="E341" s="3" t="inlineStr">
        <is>
          <t>Not started</t>
        </is>
      </c>
    </row>
    <row r="342">
      <c r="A342" s="3" t="inlineStr">
        <is>
          <t>E2E scenarios (E2E)</t>
        </is>
      </c>
      <c r="B342" s="3" t="inlineStr">
        <is>
          <t>E2E-R1-AUDX-04</t>
        </is>
      </c>
      <c r="C342" s="3" t="inlineStr">
        <is>
          <t>Chain verify reports intact | FR-T02</t>
        </is>
      </c>
      <c r="D342" s="3" t="inlineStr">
        <is>
          <t>23-E2E-TEST-PLAN.md</t>
        </is>
      </c>
      <c r="E342" s="3" t="inlineStr">
        <is>
          <t>Not started</t>
        </is>
      </c>
    </row>
    <row r="343">
      <c r="A343" s="3" t="inlineStr">
        <is>
          <t>E2E scenarios (E2E)</t>
        </is>
      </c>
      <c r="B343" s="3" t="inlineStr">
        <is>
          <t>E2E-R1-AUDX-05</t>
        </is>
      </c>
      <c r="C343" s="3" t="inlineStr">
        <is>
          <t>Saved queries: create, duplicate 409, validation 422, private per member, delete; audited | FR-T03, FR-T01</t>
        </is>
      </c>
      <c r="D343" s="3" t="inlineStr">
        <is>
          <t>23-E2E-TEST-PLAN.md</t>
        </is>
      </c>
      <c r="E343" s="3" t="inlineStr">
        <is>
          <t>Not started</t>
        </is>
      </c>
    </row>
    <row r="344">
      <c r="A344" s="3" t="inlineStr">
        <is>
          <t>E2E scenarios (E2E)</t>
        </is>
      </c>
      <c r="B344" s="3" t="inlineStr">
        <is>
          <t>E2E-R1-AUDX-06</t>
        </is>
      </c>
      <c r="C344" s="3" t="inlineStr">
        <is>
          <t>CSV and JSONL exports honour filters, need step-up, and are audited | FR-T01, docs/12 §11</t>
        </is>
      </c>
      <c r="D344" s="3" t="inlineStr">
        <is>
          <t>23-E2E-TEST-PLAN.md</t>
        </is>
      </c>
      <c r="E344" s="3" t="inlineStr">
        <is>
          <t>Not started</t>
        </is>
      </c>
    </row>
    <row r="345">
      <c r="A345" s="3" t="inlineStr">
        <is>
          <t>E2E scenarios (E2E)</t>
        </is>
      </c>
      <c r="B345" s="3" t="inlineStr">
        <is>
          <t>E2E-R1-AUDX-07</t>
        </is>
      </c>
      <c r="C345" s="3" t="inlineStr">
        <is>
          <t>`POST /audit/query`: an AND group (category, action prefix, within P30D) sorted ascending pages by cursor; an OR group returns only matching events; unknown fields or values, bad durations, nesting deeper than 2 and unsupported sorts → 422 | BPMS-064, docs/08 §7.5</t>
        </is>
      </c>
      <c r="D345" s="3" t="inlineStr">
        <is>
          <t>23-E2E-TEST-PLAN.md</t>
        </is>
      </c>
      <c r="E345" s="3" t="inlineStr">
        <is>
          <t>Not started</t>
        </is>
      </c>
    </row>
    <row r="346">
      <c r="A346" s="3" t="inlineStr">
        <is>
          <t>E2E scenarios (E2E)</t>
        </is>
      </c>
      <c r="B346" s="3" t="inlineStr">
        <is>
          <t>E2E-R1-AUDX-08</t>
        </is>
      </c>
      <c r="C346" s="3" t="inlineStr">
        <is>
          <t>A background export (202) runs as a job, finishes `done` with rows, its CSV downloads through the requester's signed file link, the requester is notified, and both `audit.export_requested` and `audit.exported` are recorded | BPMS-064, FR-T04</t>
        </is>
      </c>
      <c r="D346" s="3" t="inlineStr">
        <is>
          <t>23-E2E-TEST-PLAN.md</t>
        </is>
      </c>
      <c r="E346" s="3" t="inlineStr">
        <is>
          <t>Not started</t>
        </is>
      </c>
    </row>
    <row r="347">
      <c r="A347" s="3" t="inlineStr">
        <is>
          <t>E2E scenarios (E2E)</t>
        </is>
      </c>
      <c r="B347" s="3" t="inlineStr">
        <is>
          <t>E2E-R1-01</t>
        </is>
      </c>
      <c r="C347" s="3" t="inlineStr">
        <is>
          <t>Bootstrap: one-time token → system owner enrols MFA → no default credentials work (browser: /setup refuses a bad token or says the platform is already set up; no default account signs in; the full first run needs a fresh database, since the shared E2E database already has system admins) | FR-S01</t>
        </is>
      </c>
      <c r="D347" s="3" t="inlineStr">
        <is>
          <t>23-E2E-TEST-PLAN.md</t>
        </is>
      </c>
      <c r="E347" s="3" t="inlineStr">
        <is>
          <t>Not started</t>
        </is>
      </c>
    </row>
    <row r="348">
      <c r="A348" s="3" t="inlineStr">
        <is>
          <t>E2E scenarios (E2E)</t>
        </is>
      </c>
      <c r="B348" s="3" t="inlineStr">
        <is>
          <t>E2E-R1-02</t>
        </is>
      </c>
      <c r="C348" s="3" t="inlineStr">
        <is>
          <t>System admin creates workspace A (Starter) and B (Enterprise), invites owners; owners accept via Mailpit link and enrol MFA (browser: System › New workspace twice; owner A opens the emailed link, creates the account, turns on two-step verification, signs in and lands in the workspace) | FR-S02/S03, FR-W01</t>
        </is>
      </c>
      <c r="D348" s="3" t="inlineStr">
        <is>
          <t>23-E2E-TEST-PLAN.md</t>
        </is>
      </c>
      <c r="E348" s="3" t="inlineStr">
        <is>
          <t>Not started</t>
        </is>
      </c>
    </row>
    <row r="349">
      <c r="A349" s="3" t="inlineStr">
        <is>
          <t>E2E scenarios (E2E)</t>
        </is>
      </c>
      <c r="B349" s="3" t="inlineStr">
        <is>
          <t>E2E-R1-03</t>
        </is>
      </c>
      <c r="C349" s="3" t="inlineStr">
        <is>
          <t>Workspace owner sets branding; a low-contrast accent is auto-adjusted or rejected; terminology override ("Request" → "Ticket") shows in UI and email (built: a too-light accent shows a live contrast note with the shade text will use; the server derives 4.5:1 text and 3:1 focus shades; every member's app paints them; a logo uploaded in Settings shows in everyone's sidebar; renaming SOP to "Work Instruction" in Settings › Terminology changes the labels other members see; "Request" has no screens until M6, so its override is covered at unit level) | FR-W04, 05 §7</t>
        </is>
      </c>
      <c r="D349" s="3" t="inlineStr">
        <is>
          <t>23-E2E-TEST-PLAN.md</t>
        </is>
      </c>
      <c r="E349" s="3" t="inlineStr">
        <is>
          <t>Not started</t>
        </is>
      </c>
    </row>
    <row r="350">
      <c r="A350" s="3" t="inlineStr">
        <is>
          <t>E2E scenarios (E2E)</t>
        </is>
      </c>
      <c r="B350" s="3" t="inlineStr">
        <is>
          <t>E2E-R1-04</t>
        </is>
      </c>
      <c r="C350" s="3" t="inlineStr">
        <is>
          <t>Directory CSV import (departments, managers); a manager cycle is rejected with a clear error (browser: Members › Import directory › Check shows each row; cycle and unknown member refused; Apply saves the rest; person pages show department, manager and location) | FR-W02</t>
        </is>
      </c>
      <c r="D350" s="3" t="inlineStr">
        <is>
          <t>23-E2E-TEST-PLAN.md</t>
        </is>
      </c>
      <c r="E350" s="3" t="inlineStr">
        <is>
          <t>Not started</t>
        </is>
      </c>
    </row>
    <row r="351">
      <c r="A351" s="3" t="inlineStr">
        <is>
          <t>E2E scenarios (E2E)</t>
        </is>
      </c>
      <c r="B351" s="3" t="inlineStr">
        <is>
          <t>E2E-R1-05</t>
        </is>
      </c>
      <c r="C351" s="3" t="inlineStr">
        <is>
          <t>Clone "Process Designer" → "HR Designer" scoped to the HR collection; preview count is correct; the scope is enforced on UI and API; adding a permission the editor lacks is refused (browser: Roles &amp; access › Duplicate › grant to a person for the HR collection; a permission change previews "1 person gains 1 permission"; the holder gets Edit on the HR draft but not the Finance one, and the API agrees; a role manager who lacks audit export cannot put it into a role (403 escalation)) | FR-W03, J6</t>
        </is>
      </c>
      <c r="D351" s="3" t="inlineStr">
        <is>
          <t>23-E2E-TEST-PLAN.md</t>
        </is>
      </c>
      <c r="E351" s="3" t="inlineStr">
        <is>
          <t>Not started</t>
        </is>
      </c>
    </row>
    <row r="352">
      <c r="A352" s="3" t="inlineStr">
        <is>
          <t>E2E scenarios (E2E)</t>
        </is>
      </c>
      <c r="B352" s="3" t="inlineStr">
        <is>
          <t>E2E-R1-06</t>
        </is>
      </c>
      <c r="C352" s="3" t="inlineStr">
        <is>
          <t>Policy authored → submitted → self-approval blocked (SoD) → reviewer approves with step-up → scheduled → published at effective date (test clock) → old version watermarked as superseded in PDF (browser: the author's Approve is refused; the reviewer confirms with their password after an aged sign-in; Publish › Goes live schedules v2; `/__test/library/due` makes it due without moving the shared clock; v1's printable export carries the Superseded banner) | FR-G04/G05/G10, FR-PL01</t>
        </is>
      </c>
      <c r="D352" s="3" t="inlineStr">
        <is>
          <t>23-E2E-TEST-PLAN.md</t>
        </is>
      </c>
      <c r="E352" s="3" t="inlineStr">
        <is>
          <t>Not started</t>
        </is>
      </c>
    </row>
    <row r="353">
      <c r="A353" s="3" t="inlineStr">
        <is>
          <t>E2E scenarios (E2E)</t>
        </is>
      </c>
      <c r="B353" s="3" t="inlineStr">
        <is>
          <t>E2E-R1-07</t>
        </is>
      </c>
      <c r="C353" s="3" t="inlineStr">
        <is>
          <t>Major version publish triggers a re-ack campaign; 50 employees ack (10 at mobile viewport); evidence export lists version hash and auth method (browser: the owner publishes v2.0 as major, 51 asked; 10 people acknowledge at 390×844 from Home, 40 through the same API; the campaign shows 50 of 51 and the evidence CSV lists the v2 hash and sign-in method for all 50) | FR-PL03, FR-AK01–04</t>
        </is>
      </c>
      <c r="D353" s="3" t="inlineStr">
        <is>
          <t>23-E2E-TEST-PLAN.md</t>
        </is>
      </c>
      <c r="E353" s="3" t="inlineStr">
        <is>
          <t>Not started</t>
        </is>
      </c>
    </row>
    <row r="354">
      <c r="A354" s="3" t="inlineStr">
        <is>
          <t>E2E scenarios (E2E)</t>
        </is>
      </c>
      <c r="B354" s="3" t="inlineStr">
        <is>
          <t>E2E-R1-08</t>
        </is>
      </c>
      <c r="C354" s="3" t="inlineStr">
        <is>
          <t>New joiner added to a department automatically receives outstanding applicable campaigns (browser: a campaign created with "Also ask people who join later" on; a new hire who joins from the invitation email after launch finds the request on Home, acknowledges, and shows Done) | FR-AK03</t>
        </is>
      </c>
      <c r="D354" s="3" t="inlineStr">
        <is>
          <t>23-E2E-TEST-PLAN.md</t>
        </is>
      </c>
      <c r="E354" s="3" t="inlineStr">
        <is>
          <t>Not started</t>
        </is>
      </c>
    </row>
    <row r="355">
      <c r="A355" s="3" t="inlineStr">
        <is>
          <t>E2E scenarios (E2E)</t>
        </is>
      </c>
      <c r="B355" s="3" t="inlineStr">
        <is>
          <t>E2E-R1-09</t>
        </is>
      </c>
      <c r="C355" s="3" t="inlineStr">
        <is>
          <t>Announcement to location "Bangalore" with ack in 3 days; reminders; manager escalation after deadline (test clock); ack % by department correct (browser: location audience from the directory, confirm-by date, only Bangalore members receive it; the announcement's campaign counts the confirmation; past the deadline the manager of the member who did not confirm is told exactly once; archiving closes the campaign) | FR-AN01–06, J14</t>
        </is>
      </c>
      <c r="D355" s="3" t="inlineStr">
        <is>
          <t>23-E2E-TEST-PLAN.md</t>
        </is>
      </c>
      <c r="E355" s="3" t="inlineStr">
        <is>
          <t>Not started</t>
        </is>
      </c>
    </row>
    <row r="356">
      <c r="A356" s="3" t="inlineStr">
        <is>
          <t>E2E scenarios (E2E)</t>
        </is>
      </c>
      <c r="B356" s="3" t="inlineStr">
        <is>
          <t>E2E-R1-10</t>
        </is>
      </c>
      <c r="C356" s="3" t="inlineStr">
        <is>
          <t>Announcement approval workflow: draft → reviewer → publish; expiry archives it (browser: the drawer says approval is needed, the author sends it, a second admin approves, members see it; at expiry it leaves the feed and admins see it as Expired) | FX-C01, FR-AN03</t>
        </is>
      </c>
      <c r="D356" s="3" t="inlineStr">
        <is>
          <t>23-E2E-TEST-PLAN.md</t>
        </is>
      </c>
      <c r="E356" s="3" t="inlineStr">
        <is>
          <t>Not started</t>
        </is>
      </c>
    </row>
    <row r="357">
      <c r="A357" s="3" t="inlineStr">
        <is>
          <t>E2E scenarios (E2E)</t>
        </is>
      </c>
      <c r="B357" s="3" t="inlineStr">
        <is>
          <t>E2E-R1-11</t>
        </is>
      </c>
      <c r="C357" s="3" t="inlineStr">
        <is>
          <t>File upload (resumable 50 MB): clean file previews; **EICAR quarantined** and undownloadable; signed URL expires and fails from workspace B (browser: a 50 MB attachment with one chunk dropped resumes and its SHA-256 matches; EICAR shows quarantined and gets no link; links last ≤ 5 minutes, a tampered link is refused, workspace B gets 404 for the link and the file) | FR-F01–F03, SEC-10</t>
        </is>
      </c>
      <c r="D357" s="3" t="inlineStr">
        <is>
          <t>23-E2E-TEST-PLAN.md</t>
        </is>
      </c>
      <c r="E357" s="3" t="inlineStr">
        <is>
          <t>Not started</t>
        </is>
      </c>
    </row>
    <row r="358">
      <c r="A358" s="3" t="inlineStr">
        <is>
          <t>E2E scenarios (E2E)</t>
        </is>
      </c>
      <c r="B358" s="3" t="inlineStr">
        <is>
          <t>E2E-R1-12</t>
        </is>
      </c>
      <c r="C358" s="3" t="inlineStr">
        <is>
          <t>Files view: filter by scan state/type/size, bulk retention change, held file deletion refused (browser: Quarantined chip and a Name filter; two files changed to Operational with a reason, shown as set by an admin and audited; deleting a file a published version holds is refused) | FR-F06, FR-V</t>
        </is>
      </c>
      <c r="D358" s="3" t="inlineStr">
        <is>
          <t>23-E2E-TEST-PLAN.md</t>
        </is>
      </c>
      <c r="E358" s="3" t="inlineStr">
        <is>
          <t>Not started</t>
        </is>
      </c>
    </row>
    <row r="359">
      <c r="A359" s="3" t="inlineStr">
        <is>
          <t>E2E scenarios (E2E)</t>
        </is>
      </c>
      <c r="B359" s="3" t="inlineStr">
        <is>
          <t>E2E-R1-13</t>
        </is>
      </c>
      <c r="C359" s="3" t="inlineStr">
        <is>
          <t>DataGrid: multi-sort, typed filters, AND/OR group, saved view shared to a role, URL deep link restores view, CSV/XLSX export matches view and redaction (browser: Status is Published and (Name contains Alpha or Charlie); sort by type then name; view shared with Reviewers opens from the deep link for a reviewer; CSV has exactly the shown rows; XLSX downloads) | FR-V01–V07</t>
        </is>
      </c>
      <c r="D359" s="3" t="inlineStr">
        <is>
          <t>23-E2E-TEST-PLAN.md</t>
        </is>
      </c>
      <c r="E359" s="3" t="inlineStr">
        <is>
          <t>Not started</t>
        </is>
      </c>
    </row>
    <row r="360">
      <c r="A360" s="3" t="inlineStr">
        <is>
          <t>E2E scenarios (E2E)</t>
        </is>
      </c>
      <c r="B360" s="3" t="inlineStr">
        <is>
          <t>E2E-R1-14</t>
        </is>
      </c>
      <c r="C360" s="3" t="inlineStr">
        <is>
          <t>Audit: perform 10 actions → audit explorer filter by actor → user timeline shows them in order → `/__test/audit/verify` OK (browser: Person filter shows only that person's events; a version's timeline is oldest first: three edits, submitted, published; the page shows Chain verified) | FR-T01–T04</t>
        </is>
      </c>
      <c r="D360" s="3" t="inlineStr">
        <is>
          <t>23-E2E-TEST-PLAN.md</t>
        </is>
      </c>
      <c r="E360" s="3" t="inlineStr">
        <is>
          <t>Not started</t>
        </is>
      </c>
    </row>
    <row r="361">
      <c r="A361" s="3" t="inlineStr">
        <is>
          <t>E2E scenarios (E2E)</t>
        </is>
      </c>
      <c r="B361" s="3" t="inlineStr">
        <is>
          <t>E2E-R1-15</t>
        </is>
      </c>
      <c r="C361" s="3" t="inlineStr">
        <is>
          <t>Workspace overview dashboard: every tile drills into a pre-filtered grid with matching counts (browser: open acknowledgements → active campaigns with the same "still to acknowledge"; versions published → audit log filtered to publications with the same event count; announcements published → the Published tab; without two-step → People &amp; access filtered with the same count) | FR-A01</t>
        </is>
      </c>
      <c r="D361" s="3" t="inlineStr">
        <is>
          <t>23-E2E-TEST-PLAN.md</t>
        </is>
      </c>
      <c r="E361" s="3" t="inlineStr">
        <is>
          <t>Not started</t>
        </is>
      </c>
    </row>
    <row r="362">
      <c r="A362" s="3" t="inlineStr">
        <is>
          <t>E2E scenarios (E2E)</t>
        </is>
      </c>
      <c r="B362" s="3" t="inlineStr">
        <is>
          <t>E2E-R1-16</t>
        </is>
      </c>
      <c r="C362" s="3" t="inlineStr">
        <is>
          <t>Member deactivated → sessions revoked immediately → cannot log in or act (browser: owner deactivates from the person page; the member's open tab is sent to the chooser on the next page; signing in again offers no workspace; the API refuses entry) | SEC-04, FR-W01</t>
        </is>
      </c>
      <c r="D362" s="3" t="inlineStr">
        <is>
          <t>23-E2E-TEST-PLAN.md</t>
        </is>
      </c>
      <c r="E362" s="3" t="inlineStr">
        <is>
          <t>Not started</t>
        </is>
      </c>
    </row>
    <row r="363">
      <c r="A363" s="3" t="inlineStr">
        <is>
          <t>E2E scenarios (E2E)</t>
        </is>
      </c>
      <c r="B363" s="3" t="inlineStr">
        <is>
          <t>E2E-R1-17</t>
        </is>
      </c>
      <c r="C363" s="3" t="inlineStr">
        <is>
          <t>System admin suspends workspace B (read-only) → writes return 423 with banner → restore (browser: reads keep working; the first change is refused and a read-only banner appears on every page; after restore the banner is gone and changes work) | FR-S02, J8</t>
        </is>
      </c>
      <c r="D363" s="3" t="inlineStr">
        <is>
          <t>23-E2E-TEST-PLAN.md</t>
        </is>
      </c>
      <c r="E363" s="3" t="inlineStr">
        <is>
          <t>Not started</t>
        </is>
      </c>
    </row>
    <row r="364">
      <c r="A364" s="3" t="inlineStr">
        <is>
          <t>E2E scenarios (E2E)</t>
        </is>
      </c>
      <c r="B364" s="3" t="inlineStr">
        <is>
          <t>E2E-R1-18</t>
        </is>
      </c>
      <c r="C364" s="3" t="inlineStr">
        <is>
          <t>Startup day-one (J12): Starter profile → install policy-ack pack → publish handbook → 20 employees ack on phones in &lt; 15 min wall-clock (browser: Home › Browse templates › Install the handbook pack (5 drafts) → publish the handbook → launch the campaign → 20 people at 390×844 acknowledge; 20 of 21 done, within 15 minutes) | J12</t>
        </is>
      </c>
      <c r="D364" s="3" t="inlineStr">
        <is>
          <t>23-E2E-TEST-PLAN.md</t>
        </is>
      </c>
      <c r="E364" s="3" t="inlineStr">
        <is>
          <t>Not started</t>
        </is>
      </c>
    </row>
    <row r="365">
      <c r="A365" s="3" t="inlineStr">
        <is>
          <t>E2E scenarios (E2E)</t>
        </is>
      </c>
      <c r="B365" s="3" t="inlineStr">
        <is>
          <t>E2E-R1-19</t>
        </is>
      </c>
      <c r="C365" s="3" t="inlineStr">
        <is>
          <t>Keyboard-only: publish a policy and acknowledge it without a mouse (browser: Tab/Enter/typing only, author from Library to Published, colleague from sign-in to Acknowledged) | A11Y-01, T10</t>
        </is>
      </c>
      <c r="D365" s="3" t="inlineStr">
        <is>
          <t>23-E2E-TEST-PLAN.md</t>
        </is>
      </c>
      <c r="E365" s="3" t="inlineStr">
        <is>
          <t>Not started</t>
        </is>
      </c>
    </row>
    <row r="366">
      <c r="A366" s="3" t="inlineStr">
        <is>
          <t>E2E scenarios (E2E)</t>
        </is>
      </c>
      <c r="B366" s="3" t="inlineStr">
        <is>
          <t>E2E-R1-ISO</t>
        </is>
      </c>
      <c r="C366" s="3" t="inlineStr">
        <is>
          <t>Isolation sweep: B users probe every A object id captured during the pack → 404 + audit `denied` (built: B's owner probes 21 reads and writes on A's documents, versions, exports, campaigns, announcements, collections, departments, views, files and members → all 404, each recorded in B's audit log as `access.denied` with the object id, B's chain verifies, A unchanged) | SEC-01/02</t>
        </is>
      </c>
      <c r="D366" s="3" t="inlineStr">
        <is>
          <t>23-E2E-TEST-PLAN.md</t>
        </is>
      </c>
      <c r="E366" s="3" t="inlineStr">
        <is>
          <t>Not started</t>
        </is>
      </c>
    </row>
    <row r="367">
      <c r="A367" s="3" t="inlineStr">
        <is>
          <t>E2E scenarios (E2E)</t>
        </is>
      </c>
      <c r="B367" s="3" t="inlineStr">
        <is>
          <t>E2E-R2-01</t>
        </is>
      </c>
      <c r="C367" s="3" t="inlineStr">
        <is>
          <t>Install "Purchase requisition", map role placeholders, test run (no emails sent, nothing in metrics), publish | FR-G08, FR-E11</t>
        </is>
      </c>
      <c r="D367" s="3" t="inlineStr">
        <is>
          <t>23-E2E-TEST-PLAN.md</t>
        </is>
      </c>
      <c r="E367" s="3" t="inlineStr">
        <is>
          <t>Not started</t>
        </is>
      </c>
    </row>
    <row r="368">
      <c r="A368" s="3" t="inlineStr">
        <is>
          <t>E2E scenarios (E2E)</t>
        </is>
      </c>
      <c r="B368" s="3" t="inlineStr">
        <is>
          <t>E2E-R2-02</t>
        </is>
      </c>
      <c r="C368" s="3" t="inlineStr">
        <is>
          <t>Purchase 30 000 → manager approves; 120 000 → rule table routes to finance; rule version recorded in timeline | FR-E10, J3</t>
        </is>
      </c>
      <c r="D368" s="3" t="inlineStr">
        <is>
          <t>23-E2E-TEST-PLAN.md</t>
        </is>
      </c>
      <c r="E368" s="3" t="inlineStr">
        <is>
          <t>Not started</t>
        </is>
      </c>
    </row>
    <row r="369">
      <c r="A369" s="3" t="inlineStr">
        <is>
          <t>E2E scenarios (E2E)</t>
        </is>
      </c>
      <c r="B369" s="3" t="inlineStr">
        <is>
          <t>E2E-R2-03</t>
        </is>
      </c>
      <c r="C369" s="3" t="inlineStr">
        <is>
          <t>Duplicate submit with the same Idempotency-Key returns the same request; a different body returns 409 | 08 §2</t>
        </is>
      </c>
      <c r="D369" s="3" t="inlineStr">
        <is>
          <t>23-E2E-TEST-PLAN.md</t>
        </is>
      </c>
      <c r="E369" s="3" t="inlineStr">
        <is>
          <t>Not started</t>
        </is>
      </c>
    </row>
    <row r="370">
      <c r="A370" s="3" t="inlineStr">
        <is>
          <t>E2E scenarios (E2E)</t>
        </is>
      </c>
      <c r="B370" s="3" t="inlineStr">
        <is>
          <t>E2E-R2-04</t>
        </is>
      </c>
      <c r="C370" s="3" t="inlineStr">
        <is>
          <t>Double approval race:** two approvers decide concurrently → exactly one commit, the other gets `already_decided` | T01</t>
        </is>
      </c>
      <c r="D370" s="3" t="inlineStr">
        <is>
          <t>23-E2E-TEST-PLAN.md</t>
        </is>
      </c>
      <c r="E370" s="3" t="inlineStr">
        <is>
          <t>Not started</t>
        </is>
      </c>
    </row>
    <row r="371">
      <c r="A371" s="3" t="inlineStr">
        <is>
          <t>E2E scenarios (E2E)</t>
        </is>
      </c>
      <c r="B371" s="3" t="inlineStr">
        <is>
          <t>E2E-R2-05</t>
        </is>
      </c>
      <c r="C371" s="3" t="inlineStr">
        <is>
          <t>Kill worker after commit** (fault) → instance still progresses after restart; no duplicate email | T02</t>
        </is>
      </c>
      <c r="D371" s="3" t="inlineStr">
        <is>
          <t>23-E2E-TEST-PLAN.md</t>
        </is>
      </c>
      <c r="E371" s="3" t="inlineStr">
        <is>
          <t>Not started</t>
        </is>
      </c>
    </row>
    <row r="372">
      <c r="A372" s="3" t="inlineStr">
        <is>
          <t>E2E scenarios (E2E)</t>
        </is>
      </c>
      <c r="B372" s="3" t="inlineStr">
        <is>
          <t>E2E-R2-06</t>
        </is>
      </c>
      <c r="C372" s="3" t="inlineStr">
        <is>
          <t>30-day wait timer: publish v2 mid-flight → advance clock 30 d → instance completes on pinned v1 | T03, FR-E07</t>
        </is>
      </c>
      <c r="D372" s="3" t="inlineStr">
        <is>
          <t>23-E2E-TEST-PLAN.md</t>
        </is>
      </c>
      <c r="E372" s="3" t="inlineStr">
        <is>
          <t>Not started</t>
        </is>
      </c>
    </row>
    <row r="373">
      <c r="A373" s="3" t="inlineStr">
        <is>
          <t>E2E scenarios (E2E)</t>
        </is>
      </c>
      <c r="B373" s="3" t="inlineStr">
        <is>
          <t>E2E-R2-07</t>
        </is>
      </c>
      <c r="C373" s="3" t="inlineStr">
        <is>
          <t>Onboarding (J1): HR starts, manager approves, parallel IT + facilities tasks join, employee tracks progress | J1</t>
        </is>
      </c>
      <c r="D373" s="3" t="inlineStr">
        <is>
          <t>23-E2E-TEST-PLAN.md</t>
        </is>
      </c>
      <c r="E373" s="3" t="inlineStr">
        <is>
          <t>Not started</t>
        </is>
      </c>
    </row>
    <row r="374">
      <c r="A374" s="3" t="inlineStr">
        <is>
          <t>E2E scenarios (E2E)</t>
        </is>
      </c>
      <c r="B374" s="3" t="inlineStr">
        <is>
          <t>E2E-R2-08</t>
        </is>
      </c>
      <c r="C374" s="3" t="inlineStr">
        <is>
          <t>Out-of-office: manager sets a substitute → new approvals route to them → "on behalf of" recorded → expiry restores routing → substitute who is the initiator is excluded (SoD) | FR-E04, J7, T05</t>
        </is>
      </c>
      <c r="D374" s="3" t="inlineStr">
        <is>
          <t>23-E2E-TEST-PLAN.md</t>
        </is>
      </c>
      <c r="E374" s="3" t="inlineStr">
        <is>
          <t>Not started</t>
        </is>
      </c>
    </row>
    <row r="375">
      <c r="A375" s="3" t="inlineStr">
        <is>
          <t>E2E scenarios (E2E)</t>
        </is>
      </c>
      <c r="B375" s="3" t="inlineStr">
        <is>
          <t>E2E-R2-09</t>
        </is>
      </c>
      <c r="C375" s="3" t="inlineStr">
        <is>
          <t>Send back to an earlier step with comment → requester edits → resubmits → approver sees diff | FX-E05</t>
        </is>
      </c>
      <c r="D375" s="3" t="inlineStr">
        <is>
          <t>23-E2E-TEST-PLAN.md</t>
        </is>
      </c>
      <c r="E375" s="3" t="inlineStr">
        <is>
          <t>Not started</t>
        </is>
      </c>
    </row>
    <row r="376">
      <c r="A376" s="3" t="inlineStr">
        <is>
          <t>E2E scenarios (E2E)</t>
        </is>
      </c>
      <c r="B376" s="3" t="inlineStr">
        <is>
          <t>E2E-R2-10</t>
        </is>
      </c>
      <c r="C376" s="3" t="inlineStr">
        <is>
          <t>SLA on business calendar (IN holidays) → at-risk → breach notification to process owner (test clock) | FR-E12</t>
        </is>
      </c>
      <c r="D376" s="3" t="inlineStr">
        <is>
          <t>23-E2E-TEST-PLAN.md</t>
        </is>
      </c>
      <c r="E376" s="3" t="inlineStr">
        <is>
          <t>Not started</t>
        </is>
      </c>
    </row>
    <row r="377">
      <c r="A377" s="3" t="inlineStr">
        <is>
          <t>E2E scenarios (E2E)</t>
        </is>
      </c>
      <c r="B377" s="3" t="inlineStr">
        <is>
          <t>E2E-R2-11</t>
        </is>
      </c>
      <c r="C377" s="3" t="inlineStr">
        <is>
          <t>Escalation reassign after P2D; controlled process forbids auto-approve | 11 §3.2</t>
        </is>
      </c>
      <c r="D377" s="3" t="inlineStr">
        <is>
          <t>23-E2E-TEST-PLAN.md</t>
        </is>
      </c>
      <c r="E377" s="3" t="inlineStr">
        <is>
          <t>Not started</t>
        </is>
      </c>
    </row>
    <row r="378">
      <c r="A378" s="3" t="inlineStr">
        <is>
          <t>E2E scenarios (E2E)</t>
        </is>
      </c>
      <c r="B378" s="3" t="inlineStr">
        <is>
          <t>E2E-R2-12</t>
        </is>
      </c>
      <c r="C378" s="3" t="inlineStr">
        <is>
          <t>Form: calculation, conditional section, repeating line items, URL prefill, server rejects tampered payload | FR-E03, FX-F01–F03</t>
        </is>
      </c>
      <c r="D378" s="3" t="inlineStr">
        <is>
          <t>23-E2E-TEST-PLAN.md</t>
        </is>
      </c>
      <c r="E378" s="3" t="inlineStr">
        <is>
          <t>Not started</t>
        </is>
      </c>
    </row>
    <row r="379">
      <c r="A379" s="3" t="inlineStr">
        <is>
          <t>E2E scenarios (E2E)</t>
        </is>
      </c>
      <c r="B379" s="3" t="inlineStr">
        <is>
          <t>E2E-R2-13</t>
        </is>
      </c>
      <c r="C379" s="3" t="inlineStr">
        <is>
          <t>Designer keyboard-only: build a 4-step process, validation errors link to nodes, publish | FR-E01, T10</t>
        </is>
      </c>
      <c r="D379" s="3" t="inlineStr">
        <is>
          <t>23-E2E-TEST-PLAN.md</t>
        </is>
      </c>
      <c r="E379" s="3" t="inlineStr">
        <is>
          <t>Not started</t>
        </is>
      </c>
    </row>
    <row r="380">
      <c r="A380" s="3" t="inlineStr">
        <is>
          <t>E2E scenarios (E2E)</t>
        </is>
      </c>
      <c r="B380" s="3" t="inlineStr">
        <is>
          <t>E2E-R2-14</t>
        </is>
      </c>
      <c r="C380" s="3" t="inlineStr">
        <is>
          <t>Failed step raises an incident → admin retries → instance continues; exactly one open incident | FR-E13</t>
        </is>
      </c>
      <c r="D380" s="3" t="inlineStr">
        <is>
          <t>23-E2E-TEST-PLAN.md</t>
        </is>
      </c>
      <c r="E380" s="3" t="inlineStr">
        <is>
          <t>Not started</t>
        </is>
      </c>
    </row>
    <row r="381">
      <c r="A381" s="3" t="inlineStr">
        <is>
          <t>E2E scenarios (E2E)</t>
        </is>
      </c>
      <c r="B381" s="3" t="inlineStr">
        <is>
          <t>E2E-R2-15</t>
        </is>
      </c>
      <c r="C381" s="3" t="inlineStr">
        <is>
          <t>My Work: j/k/a triage, decision in ≤ 3 interactions, acks tab shows pending campaigns | FR-R03</t>
        </is>
      </c>
      <c r="D381" s="3" t="inlineStr">
        <is>
          <t>23-E2E-TEST-PLAN.md</t>
        </is>
      </c>
      <c r="E381" s="3" t="inlineStr">
        <is>
          <t>Not started</t>
        </is>
      </c>
    </row>
    <row r="382">
      <c r="A382" s="3" t="inlineStr">
        <is>
          <t>E2E scenarios (E2E)</t>
        </is>
      </c>
      <c r="B382" s="3" t="inlineStr">
        <is>
          <t>E2E-R2-16</t>
        </is>
      </c>
      <c r="C382" s="3" t="inlineStr">
        <is>
          <t>Restricted variable (salary) hidden from approver without grant in UI, API, export, email body and search | SEC-03</t>
        </is>
      </c>
      <c r="D382" s="3" t="inlineStr">
        <is>
          <t>23-E2E-TEST-PLAN.md</t>
        </is>
      </c>
      <c r="E382" s="3" t="inlineStr">
        <is>
          <t>Not started</t>
        </is>
      </c>
    </row>
    <row r="383">
      <c r="A383" s="3" t="inlineStr">
        <is>
          <t>E2E scenarios (E2E)</t>
        </is>
      </c>
      <c r="B383" s="3" t="inlineStr">
        <is>
          <t>E2E-R2-17</t>
        </is>
      </c>
      <c r="C383" s="3" t="inlineStr">
        <is>
          <t>Leave request (built-in): requester starts it → manager gets the step and a `work_assigned` notice → approves → request approved, timeline submitted/decided/completed, requester gets `request_completed` (API: `e2e/packs/r2/requests.api.spec.ts`) | FR-E04, BPMS-103</t>
        </is>
      </c>
      <c r="D383" s="3" t="inlineStr">
        <is>
          <t>23-E2E-TEST-PLAN.md</t>
        </is>
      </c>
      <c r="E383" s="3" t="inlineStr">
        <is>
          <t>Not started</t>
        </is>
      </c>
    </row>
    <row r="384">
      <c r="A384" s="3" t="inlineStr">
        <is>
          <t>E2E scenarios (E2E)</t>
        </is>
      </c>
      <c r="B384" s="3" t="inlineStr">
        <is>
          <t>E2E-R2-18</t>
        </is>
      </c>
      <c r="C384" s="3" t="inlineStr">
        <is>
          <t>Separation of duties: the requester is never a candidate and gets 403 deciding her own request; an outsider gets 404; a step left with nobody after exclusions is unassigned and listed for admins (`GET /work?state=unassigned`) | 12 §10, BPMS-085</t>
        </is>
      </c>
      <c r="D384" s="3" t="inlineStr">
        <is>
          <t>23-E2E-TEST-PLAN.md</t>
        </is>
      </c>
      <c r="E384" s="3" t="inlineStr">
        <is>
          <t>Not started</t>
        </is>
      </c>
    </row>
    <row r="385">
      <c r="A385" s="3" t="inlineStr">
        <is>
          <t>E2E scenarios (E2E)</t>
        </is>
      </c>
      <c r="B385" s="3" t="inlineStr">
        <is>
          <t>E2E-R2-19</t>
        </is>
      </c>
      <c r="C385" s="3" t="inlineStr">
        <is>
          <t>Built-in request types are listed with their start forms (`GET /request-types`); unknown, missing and mistyped fields are refused with 422 and one `errors[]` entry each | FR-E03 (subset), BPMS-101</t>
        </is>
      </c>
      <c r="D385" s="3" t="inlineStr">
        <is>
          <t>23-E2E-TEST-PLAN.md</t>
        </is>
      </c>
      <c r="E385" s="3" t="inlineStr">
        <is>
          <t>Not started</t>
        </is>
      </c>
    </row>
    <row r="386">
      <c r="A386" s="3" t="inlineStr">
        <is>
          <t>E2E scenarios (E2E)</t>
        </is>
      </c>
      <c r="B386" s="3" t="inlineStr">
        <is>
          <t>E2E-R2-20</t>
        </is>
      </c>
      <c r="C386" s="3" t="inlineStr">
        <is>
          <t>Requester cancels a running request: open steps close, the manager's inbox empties, a second cancel is 409; others than the requester need `request:cancel` | BPMS-103</t>
        </is>
      </c>
      <c r="D386" s="3" t="inlineStr">
        <is>
          <t>23-E2E-TEST-PLAN.md</t>
        </is>
      </c>
      <c r="E386" s="3" t="inlineStr">
        <is>
          <t>Not started</t>
        </is>
      </c>
    </row>
    <row r="387">
      <c r="A387" s="3" t="inlineStr">
        <is>
          <t>E2E scenarios (E2E)</t>
        </is>
      </c>
      <c r="B387" s="3" t="inlineStr">
        <is>
          <t>E2E-R2-21</t>
        </is>
      </c>
      <c r="C387" s="3" t="inlineStr">
        <is>
          <t>Reminders: a manager step past its due date (test control `/__test/work-items/backdate`, then `/__test/drain`) sends `work_reminder` once per reminder (two for a P2D step), is `overdue` in My work and listed by `GET /work?state=overdue` for admins (403 for others); the timeline shows two Reminded entries (API: `e2e/packs/r2/escalations.api.spec.ts`; business-time precision in `crates/requests/tests/escalations.rs`) | 11 §3.2, BPMS-085</t>
        </is>
      </c>
      <c r="D387" s="3" t="inlineStr">
        <is>
          <t>23-E2E-TEST-PLAN.md</t>
        </is>
      </c>
      <c r="E387" s="3" t="inlineStr">
        <is>
          <t>Not started</t>
        </is>
      </c>
    </row>
    <row r="388">
      <c r="A388" s="3" t="inlineStr">
        <is>
          <t>E2E scenarios (E2E)</t>
        </is>
      </c>
      <c r="B388" s="3" t="inlineStr">
        <is>
          <t>E2E-R2-22</t>
        </is>
      </c>
      <c r="C388" s="3" t="inlineStr">
        <is>
          <t>Escalation: a manager approval still open a business day after due is reassigned to the manager's manager (`work_assigned` to them, `work_reassigned` to the manager, timeline "Escalated: … reassigned to …"); the new holder decides it. Covers the reassign half of E2E-R2-11 | 11 §3.2, BPMS-085</t>
        </is>
      </c>
      <c r="D388" s="3" t="inlineStr">
        <is>
          <t>23-E2E-TEST-PLAN.md</t>
        </is>
      </c>
      <c r="E388" s="3" t="inlineStr">
        <is>
          <t>Not started</t>
        </is>
      </c>
    </row>
    <row r="389">
      <c r="A389" s="3" t="inlineStr">
        <is>
          <t>E2E scenarios (E2E)</t>
        </is>
      </c>
      <c r="B389" s="3" t="inlineStr">
        <is>
          <t>E2E-R2-23</t>
        </is>
      </c>
      <c r="C389" s="3" t="inlineStr">
        <is>
          <t>Admin oversight: an unassigned step is reassigned with `POST /work/{id}/reassign` — 403 without `work:reassign`, 422 `sod_excluded` for the requester, 422 without a reason, then 200; it leaves the Unassigned list, reaches the new holder's inbox with `work_assigned`, and the timeline names who reassigned it and why | BPMS-088, 12 §10</t>
        </is>
      </c>
      <c r="D389" s="3" t="inlineStr">
        <is>
          <t>23-E2E-TEST-PLAN.md</t>
        </is>
      </c>
      <c r="E389" s="3" t="inlineStr">
        <is>
          <t>Not started</t>
        </is>
      </c>
    </row>
    <row r="390">
      <c r="A390" s="3" t="inlineStr">
        <is>
          <t>E2E scenarios (E2E)</t>
        </is>
      </c>
      <c r="B390" s="3" t="inlineStr">
        <is>
          <t>E2E-R2-24</t>
        </is>
      </c>
      <c r="C390" s="3" t="inlineStr">
        <is>
          <t>Why this route (PR-08): an expense of 640.00 EUR → the manager's work item says `why_you` "You're ann's manager" → after approval `GET /requests/{id}` has `why` lines "boss decides Manager approval as ann's manager", "Sent to Finance approval because the amount 640.00 EUR is over 500" and the Finance group line, the route's facts (condition source, result, input value) and `release {version, checksum}` (API: `e2e/packs/r2/requests.api.spec.ts`; DB: `crates/requests/tests/proofs.rs`) | PR-08, BPMS-103</t>
        </is>
      </c>
      <c r="D390" s="3" t="inlineStr">
        <is>
          <t>23-E2E-TEST-PLAN.md</t>
        </is>
      </c>
      <c r="E390" s="3" t="inlineStr">
        <is>
          <t>Not started</t>
        </is>
      </c>
    </row>
    <row r="391">
      <c r="A391" s="3" t="inlineStr">
        <is>
          <t>E2E scenarios (E2E)</t>
        </is>
      </c>
      <c r="B391" s="3" t="inlineStr">
        <is>
          <t>E2E-R2-30</t>
        </is>
      </c>
      <c r="C391" s="3" t="inlineStr">
        <is>
          <t>Request types per workspace: an admin turns a type off (`requests.types.enabled`) → it leaves the requester's `GET /request-types` and starting it is 403; `?scope=all` lists every type with `enabled` for admins only (API: `e2e/packs/r2/workspace-requests.api.spec.ts`) | BPMS-103, docs/20 §2.7a</t>
        </is>
      </c>
      <c r="D391" s="3" t="inlineStr">
        <is>
          <t>23-E2E-TEST-PLAN.md</t>
        </is>
      </c>
      <c r="E391" s="3" t="inlineStr">
        <is>
          <t>Not started</t>
        </is>
      </c>
    </row>
    <row r="392">
      <c r="A392" s="3" t="inlineStr">
        <is>
          <t>E2E scenarios (E2E)</t>
        </is>
      </c>
      <c r="B392" s="3" t="inlineStr">
        <is>
          <t>E2E-R2-31</t>
        </is>
      </c>
      <c r="C392" s="3" t="inlineStr">
        <is>
          <t>A type limited to a group (`requests.types.audience`) is listed for and startable by its members only (403 for others); an unknown group in the setting is 422 | BPMS-103</t>
        </is>
      </c>
      <c r="D392" s="3" t="inlineStr">
        <is>
          <t>23-E2E-TEST-PLAN.md</t>
        </is>
      </c>
      <c r="E392" s="3" t="inlineStr">
        <is>
          <t>Not started</t>
        </is>
      </c>
    </row>
    <row r="393">
      <c r="A393" s="3" t="inlineStr">
        <is>
          <t>E2E scenarios (E2E)</t>
        </is>
      </c>
      <c r="B393" s="3" t="inlineStr">
        <is>
          <t>E2E-R2-32</t>
        </is>
      </c>
      <c r="C393" s="3" t="inlineStr">
        <is>
          <t>Workspace currency (`requests.currency` = USD): forms and descriptions show USD, an amount in another currency is 422, 900 USD passes the 500 threshold read in USD and goes on to finance | BPMS-103, docs/19 §5.6</t>
        </is>
      </c>
      <c r="D393" s="3" t="inlineStr">
        <is>
          <t>23-E2E-TEST-PLAN.md</t>
        </is>
      </c>
      <c r="E393" s="3" t="inlineStr">
        <is>
          <t>Not started</t>
        </is>
      </c>
    </row>
    <row r="394">
      <c r="A394" s="3" t="inlineStr">
        <is>
          <t>E2E scenarios (E2E)</t>
        </is>
      </c>
      <c r="B394" s="3" t="inlineStr">
        <is>
          <t>E2E-R2-33</t>
        </is>
      </c>
      <c r="C394" s="3" t="inlineStr">
        <is>
          <t>Out of office (E2E-R2-08 subset): a manager sets their own with a delegate → a new leave request goes to the delegate (`on_behalf_of` on the work item, a `delegated` timeline entry) → the delegate approves → `decided_by` = delegate, `on_behalf_of` = manager | BPMS-086, 12 §9</t>
        </is>
      </c>
      <c r="D394" s="3" t="inlineStr">
        <is>
          <t>23-E2E-TEST-PLAN.md</t>
        </is>
      </c>
      <c r="E394" s="3" t="inlineStr">
        <is>
          <t>Not started</t>
        </is>
      </c>
    </row>
    <row r="395">
      <c r="A395" s="3" t="inlineStr">
        <is>
          <t>E2E scenarios (E2E)</t>
        </is>
      </c>
      <c r="B395" s="3" t="inlineStr">
        <is>
          <t>E2E-R2-34</t>
        </is>
      </c>
      <c r="C395" s="3" t="inlineStr">
        <is>
          <t>An admin sets a manager's out of office: with the requester as delegate she still gets 403 `sod_violation`; with another delegate, that person sees, opens and decides the waiting item; members can't set someone else's (403); with `access.delegation.self_service_ooo` off nobody sets their own (403); yourself as delegate is 422; clearing twice is 204 then 404 | BPMS-086, 12 §9-10</t>
        </is>
      </c>
      <c r="D395" s="3" t="inlineStr">
        <is>
          <t>23-E2E-TEST-PLAN.md</t>
        </is>
      </c>
      <c r="E395" s="3" t="inlineStr">
        <is>
          <t>Not started</t>
        </is>
      </c>
    </row>
    <row r="396">
      <c r="A396" s="3" t="inlineStr">
        <is>
          <t>E2E scenarios (E2E)</t>
        </is>
      </c>
      <c r="B396" s="3" t="inlineStr">
        <is>
          <t>E2E-R2-40</t>
        </is>
      </c>
      <c r="C396" s="3" t="inlineStr">
        <is>
          <t>Who approves this (`POST /requests/preview`, a read): an expense names "Olivia Owner (your manager), then … if the amount is over 500 EUR"; at 900 the finance step applies, at 120 it drops out (`applies: false`); invalid answers are left out, not refused; an unknown type is 422; nothing is saved (API: `e2e/packs/r2/attachments.api.spec.ts`; resolver cases incl. delegate, fallback and unassigned in `crates/requests/tests/preview.rs`) | BPMS-103</t>
        </is>
      </c>
      <c r="D396" s="3" t="inlineStr">
        <is>
          <t>23-E2E-TEST-PLAN.md</t>
        </is>
      </c>
      <c r="E396" s="3" t="inlineStr">
        <is>
          <t>Not started</t>
        </is>
      </c>
    </row>
    <row r="397">
      <c r="A397" s="3" t="inlineStr">
        <is>
          <t>E2E scenarios (E2E)</t>
        </is>
      </c>
      <c r="B397" s="3" t="inlineStr">
        <is>
          <t>E2E-R2-41</t>
        </is>
      </c>
      <c r="C397" s="3" t="inlineStr">
        <is>
          <t>Every built-in has an optional multi-file Attachments field; a PNG and a PDF attach to a leave request (Supporting document + Attachments); a quarantined file (EICAR) is 422 `quarantined`, someone else's 422 `not_yours`; the manager previews both (image, pdf), an outsider gets 404; the uploader can no longer delete them (409) | BPMS-060, BPMS-101</t>
        </is>
      </c>
      <c r="D397" s="3" t="inlineStr">
        <is>
          <t>23-E2E-TEST-PLAN.md</t>
        </is>
      </c>
      <c r="E397" s="3" t="inlineStr">
        <is>
          <t>Not started</t>
        </is>
      </c>
    </row>
    <row r="398">
      <c r="A398" s="3" t="inlineStr">
        <is>
          <t>E2E scenarios (E2E)</t>
        </is>
      </c>
      <c r="B398" s="3" t="inlineStr">
        <is>
          <t>E2E-R2-42</t>
        </is>
      </c>
      <c r="C398" s="3" t="inlineStr">
        <is>
          <t>The approver attaches a file with the decision (someone else's file is 422); it shows under the decision in the timeline and in the request's attachments, and the requester may download it; a sent-back request resubmits with one file removed | BPMS-060, BPMS-103</t>
        </is>
      </c>
      <c r="D398" s="3" t="inlineStr">
        <is>
          <t>23-E2E-TEST-PLAN.md</t>
        </is>
      </c>
      <c r="E398" s="3" t="inlineStr">
        <is>
          <t>Not started</t>
        </is>
      </c>
    </row>
    <row r="399">
      <c r="A399" s="3" t="inlineStr">
        <is>
          <t>E2E scenarios (E2E)</t>
        </is>
      </c>
      <c r="B399" s="3" t="inlineStr">
        <is>
          <t>E2E-R2-43</t>
        </is>
      </c>
      <c r="C399" s="3" t="inlineStr">
        <is>
          <t>`requests.types.policy` links a published policy to leave requests (an unknown id is 422); the manager's work item carries `policy` (title, `1.0`, version id); a decision with another version id is 422, with the shown one 200, and the decision JSON and `work_item.decided` diff record `policy_version` (DB proof in `crates/requests/tests/attachments.rs`) | BPMS-103</t>
        </is>
      </c>
      <c r="D399" s="3" t="inlineStr">
        <is>
          <t>23-E2E-TEST-PLAN.md</t>
        </is>
      </c>
      <c r="E399" s="3" t="inlineStr">
        <is>
          <t>Not started</t>
        </is>
      </c>
    </row>
    <row r="400">
      <c r="A400" s="3" t="inlineStr">
        <is>
          <t>E2E scenarios (E2E)</t>
        </is>
      </c>
      <c r="B400" s="3" t="inlineStr">
        <is>
          <t>E2E-R2-SYS-01</t>
        </is>
      </c>
      <c r="C400" s="3" t="inlineStr">
        <is>
          <t>System (runs in `cargo test`): restart durability — after the engine, the request service and the scheduler are dropped and rebuilt over the same database, instances, open work items, pending timers and queued jobs are intact and each timer fires exactly once (two racing schedulers); a failing effect handler rolls the whole advance back and the retry applies once; a job whose worker died holding the lease is re-claimed after expiry and completes once, the late holder fenced off (`crates/engine/tests/proofs.rs`, `crates/requests/tests/proofs.rs`) | V-06, PR-07, T02</t>
        </is>
      </c>
      <c r="D400" s="3" t="inlineStr">
        <is>
          <t>23-E2E-TEST-PLAN.md</t>
        </is>
      </c>
      <c r="E400" s="3" t="inlineStr">
        <is>
          <t>Not started</t>
        </is>
      </c>
    </row>
    <row r="401">
      <c r="A401" s="3" t="inlineStr">
        <is>
          <t>E2E scenarios (E2E)</t>
        </is>
      </c>
      <c r="B401" s="3" t="inlineStr">
        <is>
          <t>E2E-R2-SYS-02</t>
        </is>
      </c>
      <c r="C401" s="3" t="inlineStr">
        <is>
          <t>System (`cargo test`): version pinning — an instance started on build A finishes on A after build B of the same key and version (and version 2) is registered; new starts use B; records and the runtime audit name each checksum; an unregistered checksum is refused (`crates/engine/tests/proofs.rs`) | V-04, T03, FR-E07</t>
        </is>
      </c>
      <c r="D401" s="3" t="inlineStr">
        <is>
          <t>23-E2E-TEST-PLAN.md</t>
        </is>
      </c>
      <c r="E401" s="3" t="inlineStr">
        <is>
          <t>Not started</t>
        </is>
      </c>
    </row>
    <row r="402">
      <c r="A402" s="3" t="inlineStr">
        <is>
          <t>E2E scenarios (E2E)</t>
        </is>
      </c>
      <c r="B402" s="3" t="inlineStr">
        <is>
          <t>E2E-R2-SYS-03</t>
        </is>
      </c>
      <c r="C402" s="3" t="inlineStr">
        <is>
          <t>System (`cargo test`): 20 eligible approvers decide one step from concurrent tasks → exactly one commits, the rest get `already_decided`; one decision row, one instance advance, one `work_item.decided` record (`crates/requests/tests/proofs.rs`) | V-05, T01</t>
        </is>
      </c>
      <c r="D402" s="3" t="inlineStr">
        <is>
          <t>23-E2E-TEST-PLAN.md</t>
        </is>
      </c>
      <c r="E402" s="3" t="inlineStr">
        <is>
          <t>Not started</t>
        </is>
      </c>
    </row>
    <row r="403">
      <c r="A403" s="3" t="inlineStr">
        <is>
          <t>E2E scenarios (E2E)</t>
        </is>
      </c>
      <c r="B403" s="3" t="inlineStr">
        <is>
          <t>E2E-R2-ISO</t>
        </is>
      </c>
      <c r="C403" s="3" t="inlineStr">
        <is>
          <t>Isolation sweep incl. work items, requests, forms, rule tables | SEC-01/02</t>
        </is>
      </c>
      <c r="D403" s="3" t="inlineStr">
        <is>
          <t>23-E2E-TEST-PLAN.md</t>
        </is>
      </c>
      <c r="E403" s="3" t="inlineStr">
        <is>
          <t>Not started</t>
        </is>
      </c>
    </row>
    <row r="404">
      <c r="A404" s="3" t="inlineStr">
        <is>
          <t>E2E scenarios (E2E)</t>
        </is>
      </c>
      <c r="B404" s="3" t="inlineStr">
        <is>
          <t>E2E-R2-UI-01</t>
        </is>
      </c>
      <c r="C404" s="3" t="inlineStr">
        <is>
          <t>Browser (packs/r2/requests.ui.spec.ts): employee submits a leave request from Requests › New request; the manager sees it on Home ("Approve … from …") and as "My work, 1 open", approves with a comment; the employee sees Approved with "Approved by …" and the comment in the steps | FR-R01/R02/R03, J3</t>
        </is>
      </c>
      <c r="D404" s="3" t="inlineStr">
        <is>
          <t>23-E2E-TEST-PLAN.md</t>
        </is>
      </c>
      <c r="E404" s="3" t="inlineStr">
        <is>
          <t>Not started</t>
        </is>
      </c>
    </row>
    <row r="405">
      <c r="A405" s="3" t="inlineStr">
        <is>
          <t>E2E scenarios (E2E)</t>
        </is>
      </c>
      <c r="B405" s="3" t="inlineStr">
        <is>
          <t>E2E-R2-UI-02</t>
        </is>
      </c>
      <c r="C405" s="3" t="inlineStr">
        <is>
          <t>Browser: manager sends an expense back (comment required, shown on the field when missing); the employee sees Sent back with the comment, edits and resubmits from the decision panel on the request page; it returns to the manager's My work | FX-E05, FR-R03</t>
        </is>
      </c>
      <c r="D405" s="3" t="inlineStr">
        <is>
          <t>23-E2E-TEST-PLAN.md</t>
        </is>
      </c>
      <c r="E405" s="3" t="inlineStr">
        <is>
          <t>Not started</t>
        </is>
      </c>
    </row>
    <row r="406">
      <c r="A406" s="3" t="inlineStr">
        <is>
          <t>E2E scenarios (E2E)</t>
        </is>
      </c>
      <c r="B406" s="3" t="inlineStr">
        <is>
          <t>E2E-R2-UI-03</t>
        </is>
      </c>
      <c r="C406" s="3" t="inlineStr">
        <is>
          <t>Browser: a required answer left empty shows "Enter …" on its field (aria-invalid) and no request is created | FR-E03</t>
        </is>
      </c>
      <c r="D406" s="3" t="inlineStr">
        <is>
          <t>23-E2E-TEST-PLAN.md</t>
        </is>
      </c>
      <c r="E406" s="3" t="inlineStr">
        <is>
          <t>Not started</t>
        </is>
      </c>
    </row>
    <row r="407">
      <c r="A407" s="3" t="inlineStr">
        <is>
          <t>E2E scenarios (E2E)</t>
        </is>
      </c>
      <c r="B407" s="3" t="inlineStr">
        <is>
          <t>E2E-R2-UI-04</t>
        </is>
      </c>
      <c r="C407" s="3" t="inlineStr">
        <is>
          <t>Browser: axe (WCAG 2.2 AA) on the request catalogue, a request form, the request page and My work with the decision panel | A11Y-01</t>
        </is>
      </c>
      <c r="D407" s="3" t="inlineStr">
        <is>
          <t>23-E2E-TEST-PLAN.md</t>
        </is>
      </c>
      <c r="E407" s="3" t="inlineStr">
        <is>
          <t>Not started</t>
        </is>
      </c>
    </row>
    <row r="408">
      <c r="A408" s="3" t="inlineStr">
        <is>
          <t>E2E scenarios (E2E)</t>
        </is>
      </c>
      <c r="B408" s="3" t="inlineStr">
        <is>
          <t>E2E-R2-UI-05</t>
        </is>
      </c>
      <c r="C408" s="3" t="inlineStr">
        <is>
          <t>Browser: an admin follows Home's "Needs attention" line ("1 request step has nobody to decide") to Admin › Requests oversight (Unassigned tab, axe), opens **Reassign…** on the row, picks the requester in the **Reassign step** dialog and sees the separation-of-duties refusal on **Person**, picks another person with a **Reason** and confirms; the row leaves the list, the person has the step, and the request timeline shows "Reassigned: … by …" | BPMS-088, FR-R03</t>
        </is>
      </c>
      <c r="D408" s="3" t="inlineStr">
        <is>
          <t>23-E2E-TEST-PLAN.md</t>
        </is>
      </c>
      <c r="E408" s="3" t="inlineStr">
        <is>
          <t>Not started</t>
        </is>
      </c>
    </row>
    <row r="409">
      <c r="A409" s="3" t="inlineStr">
        <is>
          <t>E2E scenarios (E2E)</t>
        </is>
      </c>
      <c r="B409" s="3" t="inlineStr">
        <is>
          <t>E2E-R2-UI-10</t>
        </is>
      </c>
      <c r="C409" s="3" t="inlineStr">
        <is>
          <t>Browser (packs/r2/workspace-requests.ui.spec.ts): the owner opens Settings › Requests (axe), switches "Offer Leave request" off and limits "Who can ask for Expense claim" to a role; the employee's New request no longer lists Leave request and its bookmarked form says "This request type isn’t available" | BPMS-103, BPMS-027</t>
        </is>
      </c>
      <c r="D409" s="3" t="inlineStr">
        <is>
          <t>23-E2E-TEST-PLAN.md</t>
        </is>
      </c>
      <c r="E409" s="3" t="inlineStr">
        <is>
          <t>Not started</t>
        </is>
      </c>
    </row>
    <row r="410">
      <c r="A410" s="3" t="inlineStr">
        <is>
          <t>E2E scenarios (E2E)</t>
        </is>
      </c>
      <c r="B410" s="3" t="inlineStr">
        <is>
          <t>E2E-R2-UI-11</t>
        </is>
      </c>
      <c r="C410" s="3" t="inlineStr">
        <is>
          <t>Browser: a manager sets Out of office on Account › Profile (first and last day, Delegate, note; axe on the dialog); a new leave request appears in the delegate's My work marked "Away · For &lt;manager&gt;"; the delegate approves; the steps read "Approved by &lt;delegate&gt; on behalf of &lt;manager&gt;" and the timeline records the substitution | BPMS-086, J7</t>
        </is>
      </c>
      <c r="D410" s="3" t="inlineStr">
        <is>
          <t>23-E2E-TEST-PLAN.md</t>
        </is>
      </c>
      <c r="E410" s="3" t="inlineStr">
        <is>
          <t>Not started</t>
        </is>
      </c>
    </row>
    <row r="411">
      <c r="A411" s="3" t="inlineStr">
        <is>
          <t>E2E scenarios (E2E)</t>
        </is>
      </c>
      <c r="B411" s="3" t="inlineStr">
        <is>
          <t>E2E-R2-UI-12</t>
        </is>
      </c>
      <c r="C411" s="3" t="inlineStr">
        <is>
          <t>Browser: a member sets Out of office from the account menu (no Profile visit); the account button reads "out of office", Home shows a banner naming the delegate (axe); another member sees the hover card on Home › People ("&lt;delegate&gt; covers") and an "Out of office until" tag on Members; "I’m back" on the banner clears it | BPMS-086</t>
        </is>
      </c>
      <c r="D411" s="3" t="inlineStr">
        <is>
          <t>23-E2E-TEST-PLAN.md</t>
        </is>
      </c>
      <c r="E411" s="3" t="inlineStr">
        <is>
          <t>Not started</t>
        </is>
      </c>
    </row>
    <row r="412">
      <c r="A412" s="3" t="inlineStr">
        <is>
          <t>E2E scenarios (E2E)</t>
        </is>
      </c>
      <c r="B412" s="3" t="inlineStr">
        <is>
          <t>E2E-R2-UI-13</t>
        </is>
      </c>
      <c r="C412" s="3" t="inlineStr">
        <is>
          <t>Browser: a manager in the directory (no role grant) opens Team: summary (people, open, overdue, due this week, away with open steps), their reporting line incl. indirect reports, an away report shown with cover and open count (axe); picking the person lists their steps; bulk "Reassign 2…" previews both and moves them to a colleague; counts update. API: a manager gets 404 for someone outside their line, a member 403 for the team view, scope=all lists everyone for admins | FR-A03, BPMS-108</t>
        </is>
      </c>
      <c r="D412" s="3" t="inlineStr">
        <is>
          <t>23-E2E-TEST-PLAN.md</t>
        </is>
      </c>
      <c r="E412" s="3" t="inlineStr">
        <is>
          <t>Not started</t>
        </is>
      </c>
    </row>
    <row r="413">
      <c r="A413" s="3" t="inlineStr">
        <is>
          <t>E2E scenarios (E2E)</t>
        </is>
      </c>
      <c r="B413" s="3" t="inlineStr">
        <is>
          <t>E2E-R2-UI-15</t>
        </is>
      </c>
      <c r="C413" s="3" t="inlineStr">
        <is>
          <t>Browser: employee onboarding — an HR member starts onboarding for a new member (member picker, first day, job title, equipment; the form says IT, Facilities and the manager work at the same time); the request page groups the three parallel tasks ("At the same time", "0 of 3 done") and My requests says "3 steps at once"; Facilities, the manager and IT each mark their task done from My work (any order) and the new member has nothing until all three are done; the new member then sees "Your acknowledgement" with the statement and a single Acknowledge button; the request ends "Onboarded" ("Finished: Onboarded" in the timeline); axe on the form, the request page and the acknowledgement (`e2e/packs/r2/onboarding.ui.spec.ts`; DB: `crates/requests/tests/onboarding.rs`) | FR-R01, BPMS-103</t>
        </is>
      </c>
      <c r="D413" s="3" t="inlineStr">
        <is>
          <t>23-E2E-TEST-PLAN.md</t>
        </is>
      </c>
      <c r="E413" s="3" t="inlineStr">
        <is>
          <t>Not started</t>
        </is>
      </c>
    </row>
    <row r="414">
      <c r="A414" s="3" t="inlineStr">
        <is>
          <t>E2E scenarios (E2E)</t>
        </is>
      </c>
      <c r="B414" s="3" t="inlineStr">
        <is>
          <t>E2E-R2-UI-14</t>
        </is>
      </c>
      <c r="C414" s="3" t="inlineStr">
        <is>
          <t>Browser: Admin › Operations lists technical incidents (a dead-lettered step with its request and error) apart from business exceptions (tiles linking to Requests oversight; axe); retry needs a reason and requeues it; dismiss records the reason (audited `incident.retried` / `incident.dismissed`); a member gets 403 on the list | PR-09, BPMS-108</t>
        </is>
      </c>
      <c r="D414" s="3" t="inlineStr">
        <is>
          <t>23-E2E-TEST-PLAN.md</t>
        </is>
      </c>
      <c r="E414" s="3" t="inlineStr">
        <is>
          <t>Not started</t>
        </is>
      </c>
    </row>
    <row r="415">
      <c r="A415" s="3" t="inlineStr">
        <is>
          <t>E2E scenarios (E2E)</t>
        </is>
      </c>
      <c r="B415" s="3" t="inlineStr">
        <is>
          <t>E2E-R2-UI-16</t>
        </is>
      </c>
      <c r="C415" s="3" t="inlineStr">
        <is>
          <t>API + browser: granting Team Manager workspace-wide is refused (422 "granted for a department"); granted over a department, the manager's Team lists that department and its sub-teams, not outsiders, and `scope=all` stays 403 | docs/12 §4, BPMS-108</t>
        </is>
      </c>
      <c r="D415" s="3" t="inlineStr">
        <is>
          <t>23-E2E-TEST-PLAN.md</t>
        </is>
      </c>
      <c r="E415" s="3" t="inlineStr">
        <is>
          <t>Not started</t>
        </is>
      </c>
    </row>
    <row r="416">
      <c r="A416" s="3" t="inlineStr">
        <is>
          <t>E2E scenarios (E2E)</t>
        </is>
      </c>
      <c r="B416" s="3" t="inlineStr">
        <is>
          <t>E2E-R2-UI-17</t>
        </is>
      </c>
      <c r="C416" s="3" t="inlineStr">
        <is>
          <t>Browser: on a request page the approver comments, then writes an internal note mentioning HR (mentioning someone who can't see the request is refused on `/mentions`), and watches the request (axe); via the API the requester sees the comment but not the note and can't post internal notes; the requester hears `request_comment`, HR `request_mention` | BPMS-214, FR-R02</t>
        </is>
      </c>
      <c r="D416" s="3" t="inlineStr">
        <is>
          <t>23-E2E-TEST-PLAN.md</t>
        </is>
      </c>
      <c r="E416" s="3" t="inlineStr">
        <is>
          <t>Not started</t>
        </is>
      </c>
    </row>
    <row r="417">
      <c r="A417" s="3" t="inlineStr">
        <is>
          <t>E2E scenarios (E2E)</t>
        </is>
      </c>
      <c r="B417" s="3" t="inlineStr">
        <is>
          <t>E2E-R2-UI-18</t>
        </is>
      </c>
      <c r="C417" s="3" t="inlineStr">
        <is>
          <t>Browser: from My work the approver delegates the step (person required; the requester is never offered; axe) with a note; it leaves their list; the colleague approves it; the timeline reads "delegated by &lt;approver&gt;: &lt;note&gt;"; audited `work_item.delegated` (AUD-01) | BPMS-212</t>
        </is>
      </c>
      <c r="D417" s="3" t="inlineStr">
        <is>
          <t>23-E2E-TEST-PLAN.md</t>
        </is>
      </c>
      <c r="E417" s="3" t="inlineStr">
        <is>
          <t>Not started</t>
        </is>
      </c>
    </row>
    <row r="418">
      <c r="A418" s="3" t="inlineStr">
        <is>
          <t>E2E scenarios (E2E)</t>
        </is>
      </c>
      <c r="B418" s="3" t="inlineStr">
        <is>
          <t>E2E-R2-UI-19</t>
        </is>
      </c>
      <c r="C418" s="3" t="inlineStr">
        <is>
          <t>Browser: finance opens an expense over the threshold; the panel offers "Send back to Manager approval" and "Send back to requester"; sending back needs a comment; the manager gets it again, approves, and it returns to finance; the timeline reads "sent back to an earlier step by &lt;finance&gt;" | BPMS-212</t>
        </is>
      </c>
      <c r="D418" s="3" t="inlineStr">
        <is>
          <t>23-E2E-TEST-PLAN.md</t>
        </is>
      </c>
      <c r="E418" s="3" t="inlineStr">
        <is>
          <t>Not started</t>
        </is>
      </c>
    </row>
    <row r="419">
      <c r="A419" s="3" t="inlineStr">
        <is>
          <t>E2E scenarios (E2E)</t>
        </is>
      </c>
      <c r="B419" s="3" t="inlineStr">
        <is>
          <t>E2E-R2-UI-20</t>
        </is>
      </c>
      <c r="C419" s="3" t="inlineStr">
        <is>
          <t>Browser: My work shows kind filters with counts (All, Approvals); "Decide several" selects three approvals; Reject needs a reason; one item is approved elsewhere meanwhile; "Approve 3" previews all three (axe), decides each with its revision and reports "2 decided; 1 couldn’t be" naming the one decided elsewhere; all three requests end approved | BPMS-216, FR-R03</t>
        </is>
      </c>
      <c r="D419" s="3" t="inlineStr">
        <is>
          <t>23-E2E-TEST-PLAN.md</t>
        </is>
      </c>
      <c r="E419" s="3" t="inlineStr">
        <is>
          <t>Not started</t>
        </is>
      </c>
    </row>
    <row r="420">
      <c r="A420" s="3" t="inlineStr">
        <is>
          <t>E2E scenarios (E2E)</t>
        </is>
      </c>
      <c r="B420" s="3" t="inlineStr">
        <is>
          <t>E2E-R2-UI-21</t>
        </is>
      </c>
      <c r="C420" s="3" t="inlineStr">
        <is>
          <t>Phone (390×844): a manager's bottom bar reads Home, My work (named "My work, 2 open"), Requests, then Search and More; tapping My work opens it as the current page (axe); More lists Library and not what is already on the bar | BPMS-207</t>
        </is>
      </c>
      <c r="D420" s="3" t="inlineStr">
        <is>
          <t>23-E2E-TEST-PLAN.md</t>
        </is>
      </c>
      <c r="E420" s="3" t="inlineStr">
        <is>
          <t>Not started</t>
        </is>
      </c>
    </row>
    <row r="421">
      <c r="A421" s="3" t="inlineStr">
        <is>
          <t>E2E scenarios (E2E)</t>
        </is>
      </c>
      <c r="B421" s="3" t="inlineStr">
        <is>
          <t>E2E-R3-01</t>
        </is>
      </c>
      <c r="C421" s="3" t="inlineStr">
        <is>
          <t>API: `GET /process-templates` lists blank and the built-ins; a process created from the leave template is saved (If-Match), validates with no errors, publishes (v1, release bundle), appears under `GET /request-types` with its studio name, starts with its studio prefix, and the requester's manager approves it | BPMS-100, BPMS-084</t>
        </is>
      </c>
      <c r="D421" s="3" t="inlineStr">
        <is>
          <t>23-E2E-TEST-PLAN.md</t>
        </is>
      </c>
      <c r="E421" s="3" t="inlineStr">
        <is>
          <t>Not started</t>
        </is>
      </c>
    </row>
    <row r="422">
      <c r="A422" s="3" t="inlineStr">
        <is>
          <t>E2E scenarios (E2E)</t>
        </is>
      </c>
      <c r="B422" s="3" t="inlineStr">
        <is>
          <t>E2E-R3-02</t>
        </is>
      </c>
      <c r="C422" s="3" t="inlineStr">
        <is>
          <t>API: a step given to a group that doesn't exist is an error on that step ("There's no group called …") from `/processes/validate`, and `/publish` is refused with 422 `{problems}` | BPMS-100</t>
        </is>
      </c>
      <c r="D422" s="3" t="inlineStr">
        <is>
          <t>23-E2E-TEST-PLAN.md</t>
        </is>
      </c>
      <c r="E422" s="3" t="inlineStr">
        <is>
          <t>Not started</t>
        </is>
      </c>
    </row>
    <row r="423">
      <c r="A423" s="3" t="inlineStr">
        <is>
          <t>E2E scenarios (E2E)</t>
        </is>
      </c>
      <c r="B423" s="3" t="inlineStr">
        <is>
          <t>E2E-R3-03</t>
        </is>
      </c>
      <c r="C423" s="3" t="inlineStr">
        <is>
          <t>API: saving a draft needs If-Match (428), a stale revision is 412; after publishing there is no draft, and saving opens version 2 with the IR's version kept in step | BPMS-100</t>
        </is>
      </c>
      <c r="D423" s="3" t="inlineStr">
        <is>
          <t>23-E2E-TEST-PLAN.md</t>
        </is>
      </c>
      <c r="E423" s="3" t="inlineStr">
        <is>
          <t>Not started</t>
        </is>
      </c>
    </row>
    <row r="424">
      <c r="A424" s="3" t="inlineStr">
        <is>
          <t>E2E scenarios (E2E)</t>
        </is>
      </c>
      <c r="B424" s="3" t="inlineStr">
        <is>
          <t>E2E-R2-UI-20</t>
        </is>
      </c>
      <c r="C424" s="3" t="inlineStr">
        <is>
          <t>Browser (packs/r2/attachments.ui.spec.ts): the expense form's **Who approves this** reads "Olivia Owner (your manager), then … if the amount is over 500 EUR" (axe), says "(the amount is over 500 EUR)" at 900 and only "Olivia Owner (your manager)" with a "Not needed now:" note at 120 | BPMS-103</t>
        </is>
      </c>
      <c r="D424" s="3" t="inlineStr">
        <is>
          <t>23-E2E-TEST-PLAN.md</t>
        </is>
      </c>
      <c r="E424" s="3" t="inlineStr">
        <is>
          <t>Not started</t>
        </is>
      </c>
    </row>
    <row r="425">
      <c r="A425" s="3" t="inlineStr">
        <is>
          <t>E2E scenarios (E2E)</t>
        </is>
      </c>
      <c r="B425" s="3" t="inlineStr">
        <is>
          <t>E2E-R2-UI-21</t>
        </is>
      </c>
      <c r="C425" s="3" t="inlineStr">
        <is>
          <t>Phone (390×844): a manager's bottom bar reads Home, My work (named "My work, 2 open"), Requests, then Search and More; tapping My work opens it as the current page (axe); More lists Library and not what is already on the bar | BPMS-207</t>
        </is>
      </c>
      <c r="D425" s="3" t="inlineStr">
        <is>
          <t>23-E2E-TEST-PLAN.md</t>
        </is>
      </c>
      <c r="E425" s="3" t="inlineStr">
        <is>
          <t>Not started</t>
        </is>
      </c>
    </row>
    <row r="426">
      <c r="A426" s="3" t="inlineStr">
        <is>
          <t>E2E scenarios (E2E)</t>
        </is>
      </c>
      <c r="B426" s="3" t="inlineStr">
        <is>
          <t>E2E-R2-UI-21</t>
        </is>
      </c>
      <c r="C426" s="3" t="inlineStr">
        <is>
          <t>Browser: an employee adds note.png and certificate.pdf to **Attachments** on a leave request (two "Ready" chips, **Remove note.png**, axe) and submits; the manager opens it in My work, previews both from **Files on this request** (image and PDF dialogs), attaches signed.pdf with **Attach files to your decision** and approves; the requester's timeline offers **Preview signed.pdf | BPMS-060, BPMS-101</t>
        </is>
      </c>
      <c r="D426" s="3" t="inlineStr">
        <is>
          <t>23-E2E-TEST-PLAN.md</t>
        </is>
      </c>
      <c r="E426" s="3" t="inlineStr">
        <is>
          <t>Not started</t>
        </is>
      </c>
    </row>
    <row r="427">
      <c r="A427" s="3" t="inlineStr">
        <is>
          <t>E2E scenarios (E2E)</t>
        </is>
      </c>
      <c r="B427" s="3" t="inlineStr">
        <is>
          <t>E2E-R2-UI-22</t>
        </is>
      </c>
      <c r="C427" s="3" t="inlineStr">
        <is>
          <t>Browser: with a policy linked to leave requests, the manager's decision panel shows the link **Leave and absence (v1.0)** to `/library/&lt;id&gt;` and approves | BPMS-103</t>
        </is>
      </c>
      <c r="D427" s="3" t="inlineStr">
        <is>
          <t>23-E2E-TEST-PLAN.md</t>
        </is>
      </c>
      <c r="E427" s="3" t="inlineStr">
        <is>
          <t>Not started</t>
        </is>
      </c>
    </row>
    <row r="428">
      <c r="A428" s="3" t="inlineStr">
        <is>
          <t>E2E scenarios (E2E)</t>
        </is>
      </c>
      <c r="B428" s="3" t="inlineStr">
        <is>
          <t>E2E-R3-01</t>
        </is>
      </c>
      <c r="C428" s="3" t="inlineStr">
        <is>
          <t>Admin monitoring (J9): overview → 12 overdue in Finance → filtered grid → bulk reassign with reason and preview → per-item audit → save view | J9, FR-A02/A03</t>
        </is>
      </c>
      <c r="D428" s="3" t="inlineStr">
        <is>
          <t>23-E2E-TEST-PLAN.md</t>
        </is>
      </c>
      <c r="E428" s="3" t="inlineStr">
        <is>
          <t>Not started</t>
        </is>
      </c>
    </row>
    <row r="429">
      <c r="A429" s="3" t="inlineStr">
        <is>
          <t>E2E scenarios (E2E)</t>
        </is>
      </c>
      <c r="B429" s="3" t="inlineStr">
        <is>
          <t>E2E-R3-02</t>
        </is>
      </c>
      <c r="C429" s="3" t="inlineStr">
        <is>
          <t>DoA matrix: amount and position limits route to the correct approver; matrix version pinned | FX-D01/D02</t>
        </is>
      </c>
      <c r="D429" s="3" t="inlineStr">
        <is>
          <t>23-E2E-TEST-PLAN.md</t>
        </is>
      </c>
      <c r="E429" s="3" t="inlineStr">
        <is>
          <t>Not started</t>
        </is>
      </c>
    </row>
    <row r="430">
      <c r="A430" s="3" t="inlineStr">
        <is>
          <t>E2E scenarios (E2E)</t>
        </is>
      </c>
      <c r="B430" s="3" t="inlineStr">
        <is>
          <t>E2E-R3-03</t>
        </is>
      </c>
      <c r="C430" s="3" t="inlineStr">
        <is>
          <t>Recall/withdraw then restart as a linked copy; edit-after-submit with per-step editable fields | FX-E04/E06</t>
        </is>
      </c>
      <c r="D430" s="3" t="inlineStr">
        <is>
          <t>23-E2E-TEST-PLAN.md</t>
        </is>
      </c>
      <c r="E430" s="3" t="inlineStr">
        <is>
          <t>Not started</t>
        </is>
      </c>
    </row>
    <row r="431">
      <c r="A431" s="3" t="inlineStr">
        <is>
          <t>E2E scenarios (E2E)</t>
        </is>
      </c>
      <c r="B431" s="3" t="inlineStr">
        <is>
          <t>E2E-R3-04</t>
        </is>
      </c>
      <c r="C431" s="3" t="inlineStr">
        <is>
          <t>Request on behalf of: beneficiary sees status; initiator ≠ beneficiary in audit | FX-E03</t>
        </is>
      </c>
      <c r="D431" s="3" t="inlineStr">
        <is>
          <t>23-E2E-TEST-PLAN.md</t>
        </is>
      </c>
      <c r="E431" s="3" t="inlineStr">
        <is>
          <t>Not started</t>
        </is>
      </c>
    </row>
    <row r="432">
      <c r="A432" s="3" t="inlineStr">
        <is>
          <t>E2E scenarios (E2E)</t>
        </is>
      </c>
      <c r="B432" s="3" t="inlineStr">
        <is>
          <t>E2E-R3-05</t>
        </is>
      </c>
      <c r="C432" s="3" t="inlineStr">
        <is>
          <t>Master data: CSV import of cost centres → cascading dropdown in form → version change doesn't alter running requests | FX-E02</t>
        </is>
      </c>
      <c r="D432" s="3" t="inlineStr">
        <is>
          <t>23-E2E-TEST-PLAN.md</t>
        </is>
      </c>
      <c r="E432" s="3" t="inlineStr">
        <is>
          <t>Not started</t>
        </is>
      </c>
    </row>
    <row r="433">
      <c r="A433" s="3" t="inlineStr">
        <is>
          <t>E2E scenarios (E2E)</t>
        </is>
      </c>
      <c r="B433" s="3" t="inlineStr">
        <is>
          <t>E2E-R3-06</t>
        </is>
      </c>
      <c r="C433" s="3" t="inlineStr">
        <is>
          <t>E-sign: upload PDF, place fields (mouse and keyboard), sequential then parallel signers, consent step, sign on mobile, certificate of completion, tamper check fails after byte change | FR-DS01–DS06</t>
        </is>
      </c>
      <c r="D433" s="3" t="inlineStr">
        <is>
          <t>23-E2E-TEST-PLAN.md</t>
        </is>
      </c>
      <c r="E433" s="3" t="inlineStr">
        <is>
          <t>Not started</t>
        </is>
      </c>
    </row>
    <row r="434">
      <c r="A434" s="3" t="inlineStr">
        <is>
          <t>E2E scenarios (E2E)</t>
        </is>
      </c>
      <c r="B434" s="3" t="inlineStr">
        <is>
          <t>E2E-R3-07</t>
        </is>
      </c>
      <c r="C434" s="3" t="inlineStr">
        <is>
          <t>Bulk sign 1 000 recipients** (J13): async progress, reminders, decline with reason, manager escalation, overdue export | J13</t>
        </is>
      </c>
      <c r="D434" s="3" t="inlineStr">
        <is>
          <t>23-E2E-TEST-PLAN.md</t>
        </is>
      </c>
      <c r="E434" s="3" t="inlineStr">
        <is>
          <t>Not started</t>
        </is>
      </c>
    </row>
    <row r="435">
      <c r="A435" s="3" t="inlineStr">
        <is>
          <t>E2E scenarios (E2E)</t>
        </is>
      </c>
      <c r="B435" s="3" t="inlineStr">
        <is>
          <t>E2E-R3-08</t>
        </is>
      </c>
      <c r="C435" s="3" t="inlineStr">
        <is>
          <t>"Not e-signable" template flag blocks sending with guidance | FX-S06</t>
        </is>
      </c>
      <c r="D435" s="3" t="inlineStr">
        <is>
          <t>23-E2E-TEST-PLAN.md</t>
        </is>
      </c>
      <c r="E435" s="3" t="inlineStr">
        <is>
          <t>Not started</t>
        </is>
      </c>
    </row>
    <row r="436">
      <c r="A436" s="3" t="inlineStr">
        <is>
          <t>E2E scenarios (E2E)</t>
        </is>
      </c>
      <c r="B436" s="3" t="inlineStr">
        <is>
          <t>E2E-R3-09</t>
        </is>
      </c>
      <c r="C436" s="3" t="inlineStr">
        <is>
          <t>File lifecycle (J11): invoice attached, scanned, previewed, locked on completion, visible in Files view with retention class | J11</t>
        </is>
      </c>
      <c r="D436" s="3" t="inlineStr">
        <is>
          <t>23-E2E-TEST-PLAN.md</t>
        </is>
      </c>
      <c r="E436" s="3" t="inlineStr">
        <is>
          <t>Not started</t>
        </is>
      </c>
    </row>
    <row r="437">
      <c r="A437" s="3" t="inlineStr">
        <is>
          <t>E2E scenarios (E2E)</t>
        </is>
      </c>
      <c r="B437" s="3" t="inlineStr">
        <is>
          <t>E2E-R3-10</t>
        </is>
      </c>
      <c r="C437" s="3" t="inlineStr">
        <is>
          <t>BPMN import of a sample with an inclusive gateway → compatibility report lists the element id | FR-G09</t>
        </is>
      </c>
      <c r="D437" s="3" t="inlineStr">
        <is>
          <t>23-E2E-TEST-PLAN.md</t>
        </is>
      </c>
      <c r="E437" s="3" t="inlineStr">
        <is>
          <t>Not started</t>
        </is>
      </c>
    </row>
    <row r="438">
      <c r="A438" s="3" t="inlineStr">
        <is>
          <t>E2E scenarios (E2E)</t>
        </is>
      </c>
      <c r="B438" s="3" t="inlineStr">
        <is>
          <t>E2E-R3-11</t>
        </is>
      </c>
      <c r="C438" s="3" t="inlineStr">
        <is>
          <t>Process health and ops monitor numbers reconcile with raw events | FR-A04/A05</t>
        </is>
      </c>
      <c r="D438" s="3" t="inlineStr">
        <is>
          <t>23-E2E-TEST-PLAN.md</t>
        </is>
      </c>
      <c r="E438" s="3" t="inlineStr">
        <is>
          <t>Not started</t>
        </is>
      </c>
    </row>
    <row r="439">
      <c r="A439" s="3" t="inlineStr">
        <is>
          <t>E2E scenarios (E2E)</t>
        </is>
      </c>
      <c r="B439" s="3" t="inlineStr">
        <is>
          <t>E2E-R3-12</t>
        </is>
      </c>
      <c r="C439" s="3" t="inlineStr">
        <is>
          <t>All 13 Wave-1 templates: install → test run green (data-driven) | TPL-*, 19</t>
        </is>
      </c>
      <c r="D439" s="3" t="inlineStr">
        <is>
          <t>23-E2E-TEST-PLAN.md</t>
        </is>
      </c>
      <c r="E439" s="3" t="inlineStr">
        <is>
          <t>Not started</t>
        </is>
      </c>
    </row>
    <row r="440">
      <c r="A440" s="3" t="inlineStr">
        <is>
          <t>E2E scenarios (E2E)</t>
        </is>
      </c>
      <c r="B440" s="3" t="inlineStr">
        <is>
          <t>E2E-R3-MOB</t>
        </is>
      </c>
      <c r="C440" s="3" t="inlineStr">
        <is>
          <t>Mobile pack (360×740, touch): start request, approve, ack, sign | FR-P07</t>
        </is>
      </c>
      <c r="D440" s="3" t="inlineStr">
        <is>
          <t>23-E2E-TEST-PLAN.md</t>
        </is>
      </c>
      <c r="E440" s="3" t="inlineStr">
        <is>
          <t>Not started</t>
        </is>
      </c>
    </row>
    <row r="441">
      <c r="A441" s="3" t="inlineStr">
        <is>
          <t>E2E scenarios (E2E)</t>
        </is>
      </c>
      <c r="B441" s="3" t="inlineStr">
        <is>
          <t>E2E-R3-ISO</t>
        </is>
      </c>
      <c r="C441" s="3" t="inlineStr">
        <is>
          <t>Isolation sweep incl. envelopes, master data, files | SEC-01/02/10</t>
        </is>
      </c>
      <c r="D441" s="3" t="inlineStr">
        <is>
          <t>23-E2E-TEST-PLAN.md</t>
        </is>
      </c>
      <c r="E441" s="3" t="inlineStr">
        <is>
          <t>Not started</t>
        </is>
      </c>
    </row>
    <row r="442">
      <c r="A442" s="3" t="inlineStr">
        <is>
          <t>E2E scenarios (E2E)</t>
        </is>
      </c>
      <c r="B442" s="3" t="inlineStr">
        <is>
          <t>E2E-R4-01</t>
        </is>
      </c>
      <c r="C442" s="3" t="inlineStr">
        <is>
          <t>OIDC SSO via Keycloak; SSO enforcement blocks local login except break-glass owner | FR-P02</t>
        </is>
      </c>
      <c r="D442" s="3" t="inlineStr">
        <is>
          <t>23-E2E-TEST-PLAN.md</t>
        </is>
      </c>
      <c r="E442" s="3" t="inlineStr">
        <is>
          <t>Not started</t>
        </is>
      </c>
    </row>
    <row r="443">
      <c r="A443" s="3" t="inlineStr">
        <is>
          <t>E2E scenarios (E2E)</t>
        </is>
      </c>
      <c r="B443" s="3" t="inlineStr">
        <is>
          <t>E2E-R4-02</t>
        </is>
      </c>
      <c r="C443" s="3" t="inlineStr">
        <is>
          <t>SCIM create/update/deactivate → access revoked and work re-routed &lt; 5 min | INT-003, SEC-04</t>
        </is>
      </c>
      <c r="D443" s="3" t="inlineStr">
        <is>
          <t>23-E2E-TEST-PLAN.md</t>
        </is>
      </c>
      <c r="E443" s="3" t="inlineStr">
        <is>
          <t>Not started</t>
        </is>
      </c>
    </row>
    <row r="444">
      <c r="A444" s="3" t="inlineStr">
        <is>
          <t>E2E scenarios (E2E)</t>
        </is>
      </c>
      <c r="B444" s="3" t="inlineStr">
        <is>
          <t>E2E-R4-03</t>
        </is>
      </c>
      <c r="C444" s="3" t="inlineStr">
        <is>
          <t>Scoped admin (Finance dept) cannot see or grant outside scope; escalation attempt denied | CFG-018</t>
        </is>
      </c>
      <c r="D444" s="3" t="inlineStr">
        <is>
          <t>23-E2E-TEST-PLAN.md</t>
        </is>
      </c>
      <c r="E444" s="3" t="inlineStr">
        <is>
          <t>Not started</t>
        </is>
      </c>
    </row>
    <row r="445">
      <c r="A445" s="3" t="inlineStr">
        <is>
          <t>E2E scenarios (E2E)</t>
        </is>
      </c>
      <c r="B445" s="3" t="inlineStr">
        <is>
          <t>E2E-R4-04</t>
        </is>
      </c>
      <c r="C445" s="3" t="inlineStr">
        <is>
          <t>Webhook delivered with valid Standard Webhooks signature; replay outside tolerance rejected by receiver; retries on 500; disabled on 410 | WH-01–04</t>
        </is>
      </c>
      <c r="D445" s="3" t="inlineStr">
        <is>
          <t>23-E2E-TEST-PLAN.md</t>
        </is>
      </c>
      <c r="E445" s="3" t="inlineStr">
        <is>
          <t>Not started</t>
        </is>
      </c>
    </row>
    <row r="446">
      <c r="A446" s="3" t="inlineStr">
        <is>
          <t>E2E scenarios (E2E)</t>
        </is>
      </c>
      <c r="B446" s="3" t="inlineStr">
        <is>
          <t>E2E-R4-05</t>
        </is>
      </c>
      <c r="C446" s="3" t="inlineStr">
        <is>
          <t>HTTP connector to `169.254.169.254` and to private IP refused (SSRF); allowlisted host OK | SSRF-01–06</t>
        </is>
      </c>
      <c r="D446" s="3" t="inlineStr">
        <is>
          <t>23-E2E-TEST-PLAN.md</t>
        </is>
      </c>
      <c r="E446" s="3" t="inlineStr">
        <is>
          <t>Not started</t>
        </is>
      </c>
    </row>
    <row r="447">
      <c r="A447" s="3" t="inlineStr">
        <is>
          <t>E2E scenarios (E2E)</t>
        </is>
      </c>
      <c r="B447" s="3" t="inlineStr">
        <is>
          <t>E2E-R4-06</t>
        </is>
      </c>
      <c r="C447" s="3" t="inlineStr">
        <is>
          <t>Email-actionable approval: link → confirm page → approve; reusing link fails; a GET never mutates | FR-N03</t>
        </is>
      </c>
      <c r="D447" s="3" t="inlineStr">
        <is>
          <t>23-E2E-TEST-PLAN.md</t>
        </is>
      </c>
      <c r="E447" s="3" t="inlineStr">
        <is>
          <t>Not started</t>
        </is>
      </c>
    </row>
    <row r="448">
      <c r="A448" s="3" t="inlineStr">
        <is>
          <t>E2E scenarios (E2E)</t>
        </is>
      </c>
      <c r="B448" s="3" t="inlineStr">
        <is>
          <t>E2E-R4-07</t>
        </is>
      </c>
      <c r="C448" s="3" t="inlineStr">
        <is>
          <t>External signer via magic link + email OTP; link single-use | FR-DS02, FR-P08</t>
        </is>
      </c>
      <c r="D448" s="3" t="inlineStr">
        <is>
          <t>23-E2E-TEST-PLAN.md</t>
        </is>
      </c>
      <c r="E448" s="3" t="inlineStr">
        <is>
          <t>Not started</t>
        </is>
      </c>
    </row>
    <row r="449">
      <c r="A449" s="3" t="inlineStr">
        <is>
          <t>E2E scenarios (E2E)</t>
        </is>
      </c>
      <c r="B449" s="3" t="inlineStr">
        <is>
          <t>E2E-R4-08</t>
        </is>
      </c>
      <c r="C449" s="3" t="inlineStr">
        <is>
          <t>Envelope correction (change recipient email) audited; DOCX + merge fields; anchor tags place fields | FX-S03/S09</t>
        </is>
      </c>
      <c r="D449" s="3" t="inlineStr">
        <is>
          <t>23-E2E-TEST-PLAN.md</t>
        </is>
      </c>
      <c r="E449" s="3" t="inlineStr">
        <is>
          <t>Not started</t>
        </is>
      </c>
    </row>
    <row r="450">
      <c r="A450" s="3" t="inlineStr">
        <is>
          <t>E2E scenarios (E2E)</t>
        </is>
      </c>
      <c r="B450" s="3" t="inlineStr">
        <is>
          <t>E2E-R4-09</t>
        </is>
      </c>
      <c r="C450" s="3" t="inlineStr">
        <is>
          <t>Public form with CAPTCHA + rate limit; save &amp; resume | FX-F05/F06</t>
        </is>
      </c>
      <c r="D450" s="3" t="inlineStr">
        <is>
          <t>23-E2E-TEST-PLAN.md</t>
        </is>
      </c>
      <c r="E450" s="3" t="inlineStr">
        <is>
          <t>Not started</t>
        </is>
      </c>
    </row>
    <row r="451">
      <c r="A451" s="3" t="inlineStr">
        <is>
          <t>E2E scenarios (E2E)</t>
        </is>
      </c>
      <c r="B451" s="3" t="inlineStr">
        <is>
          <t>E2E-R4-10</t>
        </is>
      </c>
      <c r="C451" s="3" t="inlineStr">
        <is>
          <t>Config export from sandbox → import into prod workspace shows diff; secrets absent | FR-W12, FR-P09</t>
        </is>
      </c>
      <c r="D451" s="3" t="inlineStr">
        <is>
          <t>23-E2E-TEST-PLAN.md</t>
        </is>
      </c>
      <c r="E451" s="3" t="inlineStr">
        <is>
          <t>Not started</t>
        </is>
      </c>
    </row>
    <row r="452">
      <c r="A452" s="3" t="inlineStr">
        <is>
          <t>E2E scenarios (E2E)</t>
        </is>
      </c>
      <c r="B452" s="3" t="inlineStr">
        <is>
          <t>E2E-R4-11</t>
        </is>
      </c>
      <c r="C452" s="3" t="inlineStr">
        <is>
          <t>API token scoped to `request:start` cannot read audit | 12 §5</t>
        </is>
      </c>
      <c r="D452" s="3" t="inlineStr">
        <is>
          <t>23-E2E-TEST-PLAN.md</t>
        </is>
      </c>
      <c r="E452" s="3" t="inlineStr">
        <is>
          <t>Not started</t>
        </is>
      </c>
    </row>
    <row r="453">
      <c r="A453" s="3" t="inlineStr">
        <is>
          <t>E2E scenarios (E2E)</t>
        </is>
      </c>
      <c r="B453" s="3" t="inlineStr">
        <is>
          <t>E2E-R4-ISO</t>
        </is>
      </c>
      <c r="C453" s="3" t="inlineStr">
        <is>
          <t>Isolation sweep incl. tokens, webhooks, connectors | SEC-</t>
        </is>
      </c>
      <c r="D453" s="3" t="inlineStr">
        <is>
          <t>23-E2E-TEST-PLAN.md</t>
        </is>
      </c>
      <c r="E453" s="3" t="inlineStr">
        <is>
          <t>Not started</t>
        </is>
      </c>
    </row>
    <row r="454">
      <c r="A454" s="3" t="inlineStr">
        <is>
          <t>E2E scenarios (E2E)</t>
        </is>
      </c>
      <c r="B454" s="3" t="inlineStr">
        <is>
          <t>E2E-R5-01</t>
        </is>
      </c>
      <c r="C454" s="3" t="inlineStr">
        <is>
          <t>Incident case (J4): intake → evidence → ad hoc tasks → closure blocked until checklist done → audit export | J4, FR-C01/C02</t>
        </is>
      </c>
      <c r="D454" s="3" t="inlineStr">
        <is>
          <t>23-E2E-TEST-PLAN.md</t>
        </is>
      </c>
      <c r="E454" s="3" t="inlineStr">
        <is>
          <t>Not started</t>
        </is>
      </c>
    </row>
    <row r="455">
      <c r="A455" s="3" t="inlineStr">
        <is>
          <t>E2E scenarios (E2E)</t>
        </is>
      </c>
      <c r="B455" s="3" t="inlineStr">
        <is>
          <t>E2E-R5-02</t>
        </is>
      </c>
      <c r="C455" s="3" t="inlineStr">
        <is>
          <t>Restricted HR case invisible in global search, reports, dashboards, notifications; admin self-grant is audited and visible to case team | FX-K06, OQ-12</t>
        </is>
      </c>
      <c r="D455" s="3" t="inlineStr">
        <is>
          <t>23-E2E-TEST-PLAN.md</t>
        </is>
      </c>
      <c r="E455" s="3" t="inlineStr">
        <is>
          <t>Not started</t>
        </is>
      </c>
    </row>
    <row r="456">
      <c r="A456" s="3" t="inlineStr">
        <is>
          <t>E2E scenarios (E2E)</t>
        </is>
      </c>
      <c r="B456" s="3" t="inlineStr">
        <is>
          <t>E2E-R5-03</t>
        </is>
      </c>
      <c r="C456" s="3" t="inlineStr">
        <is>
          <t>Investigation (J10): filter `data_access` on `salary` → pin events/files → legal hold → signed export → `procera-verify` offline passes; edited bundle fails | J10, FR-T05/T06, AUD-05</t>
        </is>
      </c>
      <c r="D456" s="3" t="inlineStr">
        <is>
          <t>23-E2E-TEST-PLAN.md</t>
        </is>
      </c>
      <c r="E456" s="3" t="inlineStr">
        <is>
          <t>Not started</t>
        </is>
      </c>
    </row>
    <row r="457">
      <c r="A457" s="3" t="inlineStr">
        <is>
          <t>E2E scenarios (E2E)</t>
        </is>
      </c>
      <c r="B457" s="3" t="inlineStr">
        <is>
          <t>E2E-R5-04</t>
        </is>
      </c>
      <c r="C457" s="3" t="inlineStr">
        <is>
          <t>Legal hold blocks retention purge and file deletion; release by authorised role resumes | PRV-03</t>
        </is>
      </c>
      <c r="D457" s="3" t="inlineStr">
        <is>
          <t>23-E2E-TEST-PLAN.md</t>
        </is>
      </c>
      <c r="E457" s="3" t="inlineStr">
        <is>
          <t>Not started</t>
        </is>
      </c>
    </row>
    <row r="458">
      <c r="A458" s="3" t="inlineStr">
        <is>
          <t>E2E scenarios (E2E)</t>
        </is>
      </c>
      <c r="B458" s="3" t="inlineStr">
        <is>
          <t>E2E-R5-05</t>
        </is>
      </c>
      <c r="C458" s="3" t="inlineStr">
        <is>
          <t>Part 11 mode: approval requires re-auth; manifestation shows name/time/meaning; signature bound to record hash | ESIG-01–05</t>
        </is>
      </c>
      <c r="D458" s="3" t="inlineStr">
        <is>
          <t>23-E2E-TEST-PLAN.md</t>
        </is>
      </c>
      <c r="E458" s="3" t="inlineStr">
        <is>
          <t>Not started</t>
        </is>
      </c>
    </row>
    <row r="459">
      <c r="A459" s="3" t="inlineStr">
        <is>
          <t>E2E scenarios (E2E)</t>
        </is>
      </c>
      <c r="B459" s="3" t="inlineStr">
        <is>
          <t>E2E-R5-06</t>
        </is>
      </c>
      <c r="C459" s="3" t="inlineStr">
        <is>
          <t>Attestation campaign + access review; unconfirmed grants expire | FR-G06, FR-W11</t>
        </is>
      </c>
      <c r="D459" s="3" t="inlineStr">
        <is>
          <t>23-E2E-TEST-PLAN.md</t>
        </is>
      </c>
      <c r="E459" s="3" t="inlineStr">
        <is>
          <t>Not started</t>
        </is>
      </c>
    </row>
    <row r="460">
      <c r="A460" s="3" t="inlineStr">
        <is>
          <t>E2E scenarios (E2E)</t>
        </is>
      </c>
      <c r="B460" s="3" t="inlineStr">
        <is>
          <t>E2E-R5-07</t>
        </is>
      </c>
      <c r="C460" s="3" t="inlineStr">
        <is>
          <t>Break-glass: system admin request → workspace approval → read-only session banner → auto-expiry → visible in workspace audit | FR-S07</t>
        </is>
      </c>
      <c r="D460" s="3" t="inlineStr">
        <is>
          <t>23-E2E-TEST-PLAN.md</t>
        </is>
      </c>
      <c r="E460" s="3" t="inlineStr">
        <is>
          <t>Not started</t>
        </is>
      </c>
    </row>
    <row r="461">
      <c r="A461" s="3" t="inlineStr">
        <is>
          <t>E2E scenarios (E2E)</t>
        </is>
      </c>
      <c r="B461" s="3" t="inlineStr">
        <is>
          <t>E2E-R5-08</t>
        </is>
      </c>
      <c r="C461" s="3" t="inlineStr">
        <is>
          <t>Separation mode on → workspace admin loses content access → audited self-grant flow | 12 §6.1</t>
        </is>
      </c>
      <c r="D461" s="3" t="inlineStr">
        <is>
          <t>23-E2E-TEST-PLAN.md</t>
        </is>
      </c>
      <c r="E461" s="3" t="inlineStr">
        <is>
          <t>Not started</t>
        </is>
      </c>
    </row>
    <row r="462">
      <c r="A462" s="3" t="inlineStr">
        <is>
          <t>E2E scenarios (E2E)</t>
        </is>
      </c>
      <c r="B462" s="3" t="inlineStr">
        <is>
          <t>E2E-R5-09</t>
        </is>
      </c>
      <c r="C462" s="3" t="inlineStr">
        <is>
          <t>Scheduled report re-applies permissions at run time (user lost access → no data sent) | FX-A02</t>
        </is>
      </c>
      <c r="D462" s="3" t="inlineStr">
        <is>
          <t>23-E2E-TEST-PLAN.md</t>
        </is>
      </c>
      <c r="E462" s="3" t="inlineStr">
        <is>
          <t>Not started</t>
        </is>
      </c>
    </row>
    <row r="463">
      <c r="A463" s="3" t="inlineStr">
        <is>
          <t>E2E scenarios (E2E)</t>
        </is>
      </c>
      <c r="B463" s="3" t="inlineStr">
        <is>
          <t>E2E-R5-10</t>
        </is>
      </c>
      <c r="C463" s="3" t="inlineStr">
        <is>
          <t>AI drafting (when enabled): output is a draft, labelled, provenance in audit; cannot publish or approve | ADR-0006</t>
        </is>
      </c>
      <c r="D463" s="3" t="inlineStr">
        <is>
          <t>23-E2E-TEST-PLAN.md</t>
        </is>
      </c>
      <c r="E463" s="3" t="inlineStr">
        <is>
          <t>Not started</t>
        </is>
      </c>
    </row>
    <row r="464">
      <c r="A464" s="3" t="inlineStr">
        <is>
          <t>E2E scenarios (E2E)</t>
        </is>
      </c>
      <c r="B464" s="3" t="inlineStr">
        <is>
          <t>E2E-R5-ISO</t>
        </is>
      </c>
      <c r="C464" s="3" t="inlineStr">
        <is>
          <t>Isolation sweep incl. cases, investigations, evidence | SEC-</t>
        </is>
      </c>
      <c r="D464" s="3" t="inlineStr">
        <is>
          <t>23-E2E-TEST-PLAN.md</t>
        </is>
      </c>
      <c r="E464" s="3" t="inlineStr">
        <is>
          <t>Not started</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36" customWidth="1" min="2" max="2"/>
    <col width="10" customWidth="1" min="3" max="3"/>
    <col width="10" customWidth="1" min="4" max="4"/>
    <col width="60" customWidth="1" min="5" max="5"/>
    <col width="14" customWidth="1" min="6" max="6"/>
    <col width="8" customWidth="1" min="7" max="7"/>
  </cols>
  <sheetData>
    <row r="1">
      <c r="A1" s="2" t="inlineStr">
        <is>
          <t>ID</t>
        </is>
      </c>
      <c r="B1" s="2" t="inlineStr">
        <is>
          <t>Risk</t>
        </is>
      </c>
      <c r="C1" s="2" t="inlineStr">
        <is>
          <t>Severity</t>
        </is>
      </c>
      <c r="D1" s="2" t="inlineStr">
        <is>
          <t>Likelihood</t>
        </is>
      </c>
      <c r="E1" s="2" t="inlineStr">
        <is>
          <t>Mitigation</t>
        </is>
      </c>
      <c r="F1" s="2" t="inlineStr">
        <is>
          <t>Owner</t>
        </is>
      </c>
      <c r="G1" s="2" t="inlineStr">
        <is>
          <t>Trend</t>
        </is>
      </c>
    </row>
    <row r="2">
      <c r="A2" s="3" t="inlineStr">
        <is>
          <t>R1</t>
        </is>
      </c>
      <c r="B2" s="3" t="inlineStr">
        <is>
          <t>Execution correctness</t>
        </is>
      </c>
      <c r="C2" s="3" t="inlineStr">
        <is>
          <t>Critical</t>
        </is>
      </c>
      <c r="D2" s="3" t="inlineStr">
        <is>
          <t>High</t>
        </is>
      </c>
      <c r="E2" s="3" t="inlineStr">
        <is>
          <t>IR spec, conformance, property/model tests, chaos</t>
        </is>
      </c>
      <c r="F2" s="3" t="inlineStr">
        <is>
          <t>Runtime lead</t>
        </is>
      </c>
      <c r="G2" s="3" t="inlineStr">
        <is>
          <t>—</t>
        </is>
      </c>
    </row>
    <row r="3">
      <c r="A3" s="3" t="inlineStr">
        <is>
          <t>R2</t>
        </is>
      </c>
      <c r="B3" s="3" t="inlineStr">
        <is>
          <t>Scope creep (BPMN/features)</t>
        </is>
      </c>
      <c r="C3" s="3" t="inlineStr">
        <is>
          <t>High</t>
        </is>
      </c>
      <c r="D3" s="3" t="inlineStr">
        <is>
          <t>High</t>
        </is>
      </c>
      <c r="E3" s="3" t="inlineStr">
        <is>
          <t>Non-goals, catalogue change process, scope-cut list</t>
        </is>
      </c>
      <c r="F3" s="3" t="inlineStr">
        <is>
          <t>Product</t>
        </is>
      </c>
      <c r="G3" s="3" t="inlineStr">
        <is>
          <t>—</t>
        </is>
      </c>
    </row>
    <row r="4">
      <c r="A4" s="3" t="inlineStr">
        <is>
          <t>R3</t>
        </is>
      </c>
      <c r="B4" s="3" t="inlineStr">
        <is>
          <t>Cross-workspace data leak</t>
        </is>
      </c>
      <c r="C4" s="3" t="inlineStr">
        <is>
          <t>Critical</t>
        </is>
      </c>
      <c r="D4" s="3" t="inlineStr">
        <is>
          <t>Medium</t>
        </is>
      </c>
      <c r="E4" s="3" t="inlineStr">
        <is>
          <t>Layered isolation, CI sweep, pentest</t>
        </is>
      </c>
      <c r="F4" s="3" t="inlineStr">
        <is>
          <t>Security</t>
        </is>
      </c>
      <c r="G4" s="3" t="inlineStr">
        <is>
          <t>—</t>
        </is>
      </c>
    </row>
    <row r="5">
      <c r="A5" s="3" t="inlineStr">
        <is>
          <t>R4</t>
        </is>
      </c>
      <c r="B5" s="3" t="inlineStr">
        <is>
          <t>Adoption / UX quality</t>
        </is>
      </c>
      <c r="C5" s="3" t="inlineStr">
        <is>
          <t>High</t>
        </is>
      </c>
      <c r="D5" s="3" t="inlineStr">
        <is>
          <t>Medium</t>
        </is>
      </c>
      <c r="E5" s="3" t="inlineStr">
        <is>
          <t>Templates, Starter profile, usability per milestone, SUS gate</t>
        </is>
      </c>
      <c r="F5" s="3" t="inlineStr">
        <is>
          <t>Design</t>
        </is>
      </c>
      <c r="G5" s="3" t="inlineStr">
        <is>
          <t>—</t>
        </is>
      </c>
    </row>
    <row r="6">
      <c r="A6" s="3" t="inlineStr">
        <is>
          <t>R5</t>
        </is>
      </c>
      <c r="B6" s="3" t="inlineStr">
        <is>
          <t>Wrong runtime choice</t>
        </is>
      </c>
      <c r="C6" s="3" t="inlineStr">
        <is>
          <t>High</t>
        </is>
      </c>
      <c r="D6" s="3" t="inlineStr">
        <is>
          <t>Medium</t>
        </is>
      </c>
      <c r="E6" s="3" t="inlineStr">
        <is>
          <t>Spikes before G1, adapter seam</t>
        </is>
      </c>
      <c r="F6" s="3" t="inlineStr">
        <is>
          <t>Architect</t>
        </is>
      </c>
      <c r="G6" s="3" t="inlineStr">
        <is>
          <t>—</t>
        </is>
      </c>
    </row>
    <row r="7">
      <c r="A7" s="3" t="inlineStr">
        <is>
          <t>R6</t>
        </is>
      </c>
      <c r="B7" s="3" t="inlineStr">
        <is>
          <t>Licence contamination</t>
        </is>
      </c>
      <c r="C7" s="3" t="inlineStr">
        <is>
          <t>High</t>
        </is>
      </c>
      <c r="D7" s="3" t="inlineStr">
        <is>
          <t>Medium</t>
        </is>
      </c>
      <c r="E7" s="3" t="inlineStr">
        <is>
          <t>CI licence gate, SP-07 quarterly</t>
        </is>
      </c>
      <c r="F7" s="3" t="inlineStr">
        <is>
          <t>Tech lead</t>
        </is>
      </c>
      <c r="G7" s="3" t="inlineStr">
        <is>
          <t>—</t>
        </is>
      </c>
    </row>
    <row r="8">
      <c r="A8" s="3" t="inlineStr">
        <is>
          <t>R7</t>
        </is>
      </c>
      <c r="B8" s="3" t="inlineStr">
        <is>
          <t>Instance migration demand</t>
        </is>
      </c>
      <c r="C8" s="3" t="inlineStr">
        <is>
          <t>High</t>
        </is>
      </c>
      <c r="D8" s="3" t="inlineStr">
        <is>
          <t>High</t>
        </is>
      </c>
      <c r="E8" s="3" t="inlineStr">
        <is>
          <t>Pinning; cancel-and-restart; P2 tool</t>
        </is>
      </c>
      <c r="F8" s="3" t="inlineStr">
        <is>
          <t>Runtime</t>
        </is>
      </c>
      <c r="G8" s="3" t="inlineStr">
        <is>
          <t>—</t>
        </is>
      </c>
    </row>
    <row r="9">
      <c r="A9" s="3" t="inlineStr">
        <is>
          <t>R8</t>
        </is>
      </c>
      <c r="B9" s="3" t="inlineStr">
        <is>
          <t>Duplicate external side effects</t>
        </is>
      </c>
      <c r="C9" s="3" t="inlineStr">
        <is>
          <t>High</t>
        </is>
      </c>
      <c r="D9" s="3" t="inlineStr">
        <is>
          <t>High</t>
        </is>
      </c>
      <c r="E9" s="3" t="inlineStr">
        <is>
          <t>Outbox, idempotency keys</t>
        </is>
      </c>
      <c r="F9" s="3" t="inlineStr">
        <is>
          <t>Backend</t>
        </is>
      </c>
      <c r="G9" s="3" t="inlineStr">
        <is>
          <t>—</t>
        </is>
      </c>
    </row>
    <row r="10">
      <c r="A10" s="3" t="inlineStr">
        <is>
          <t>R9</t>
        </is>
      </c>
      <c r="B10" s="3" t="inlineStr">
        <is>
          <t>Analytics inaccuracy</t>
        </is>
      </c>
      <c r="C10" s="3" t="inlineStr">
        <is>
          <t>Medium</t>
        </is>
      </c>
      <c r="D10" s="3" t="inlineStr">
        <is>
          <t>Medium</t>
        </is>
      </c>
      <c r="E10" s="3" t="inlineStr">
        <is>
          <t>Event semantics, reconciliation tests</t>
        </is>
      </c>
      <c r="F10" s="3" t="inlineStr">
        <is>
          <t>Data</t>
        </is>
      </c>
      <c r="G10" s="3" t="inlineStr">
        <is>
          <t>—</t>
        </is>
      </c>
    </row>
    <row r="11">
      <c r="A11" s="3" t="inlineStr">
        <is>
          <t>R10</t>
        </is>
      </c>
      <c r="B11" s="3" t="inlineStr">
        <is>
          <t>Staffing below plan</t>
        </is>
      </c>
      <c r="C11" s="3" t="inlineStr">
        <is>
          <t>High</t>
        </is>
      </c>
      <c r="D11" s="3" t="inlineStr">
        <is>
          <t>Medium</t>
        </is>
      </c>
      <c r="E11" s="3" t="inlineStr">
        <is>
          <t>Option B timeline; scope cuts</t>
        </is>
      </c>
      <c r="F11" s="3" t="inlineStr">
        <is>
          <t>Product</t>
        </is>
      </c>
      <c r="G11" s="3" t="inlineStr">
        <is>
          <t>—</t>
        </is>
      </c>
    </row>
    <row r="12">
      <c r="A12" s="3" t="inlineStr">
        <is>
          <t>R11</t>
        </is>
      </c>
      <c r="B12" s="3" t="inlineStr">
        <is>
          <t>E-sign legal validity per jurisdiction</t>
        </is>
      </c>
      <c r="C12" s="3" t="inlineStr">
        <is>
          <t>Medium</t>
        </is>
      </c>
      <c r="D12" s="3" t="inlineStr">
        <is>
          <t>Medium</t>
        </is>
      </c>
      <c r="E12" s="3" t="inlineStr">
        <is>
          <t>Legal posture doc, certificate, QES/Aadhaar providers P2</t>
        </is>
      </c>
      <c r="F12" s="3" t="inlineStr">
        <is>
          <t>Legal</t>
        </is>
      </c>
      <c r="G12" s="3" t="inlineStr">
        <is>
          <t>—</t>
        </is>
      </c>
    </row>
    <row r="13">
      <c r="A13" s="3" t="inlineStr">
        <is>
          <t>R12</t>
        </is>
      </c>
      <c r="B13" s="3" t="inlineStr">
        <is>
          <t>Admin visibility vs confidential cases</t>
        </is>
      </c>
      <c r="C13" s="3" t="inlineStr">
        <is>
          <t>Medium</t>
        </is>
      </c>
      <c r="D13" s="3" t="inlineStr">
        <is>
          <t>Medium</t>
        </is>
      </c>
      <c r="E13" s="3" t="inlineStr">
        <is>
          <t>Restricted cases + Separation mode (OQ-12)</t>
        </is>
      </c>
      <c r="F13" s="3" t="inlineStr">
        <is>
          <t>Product</t>
        </is>
      </c>
      <c r="G13" s="3" t="inlineStr">
        <is>
          <t>—</t>
        </is>
      </c>
    </row>
    <row r="14">
      <c r="A14" s="3" t="inlineStr">
        <is>
          <t>R13</t>
        </is>
      </c>
      <c r="B14" s="3" t="inlineStr">
        <is>
          <t>Scanner/converter/object store availability</t>
        </is>
      </c>
      <c r="C14" s="3" t="inlineStr">
        <is>
          <t>Medium</t>
        </is>
      </c>
      <c r="D14" s="3" t="inlineStr">
        <is>
          <t>Low</t>
        </is>
      </c>
      <c r="E14" s="3" t="inlineStr">
        <is>
          <t>Fail-closed + degraded modes</t>
        </is>
      </c>
      <c r="F14" s="3" t="inlineStr">
        <is>
          <t>SRE</t>
        </is>
      </c>
      <c r="G14" s="3" t="inlineStr">
        <is>
          <t>—</t>
        </is>
      </c>
    </row>
    <row r="15">
      <c r="A15" s="3" t="inlineStr">
        <is>
          <t>R14</t>
        </is>
      </c>
      <c r="B15" s="3" t="inlineStr">
        <is>
          <t>Email deliverability for self-hosters</t>
        </is>
      </c>
      <c r="C15" s="3" t="inlineStr">
        <is>
          <t>Medium</t>
        </is>
      </c>
      <c r="D15" s="3" t="inlineStr">
        <is>
          <t>Medium</t>
        </is>
      </c>
      <c r="E15" s="3" t="inlineStr">
        <is>
          <t>Guides, bounce handling, in-app fallback</t>
        </is>
      </c>
      <c r="F15" s="3" t="inlineStr">
        <is>
          <t>Backend</t>
        </is>
      </c>
      <c r="G15" s="3" t="inlineStr">
        <is>
          <t>—</t>
        </is>
      </c>
    </row>
    <row r="16">
      <c r="A16" s="3" t="inlineStr">
        <is>
          <t>R15</t>
        </is>
      </c>
      <c r="B16" s="3" t="inlineStr">
        <is>
          <t>Accessibility regressions in designer/canvas</t>
        </is>
      </c>
      <c r="C16" s="3" t="inlineStr">
        <is>
          <t>Medium</t>
        </is>
      </c>
      <c r="D16" s="3" t="inlineStr">
        <is>
          <t>Medium</t>
        </is>
      </c>
      <c r="E16" s="3" t="inlineStr">
        <is>
          <t>Keyboard alternative, axe in CI, audits</t>
        </is>
      </c>
      <c r="F16" s="3" t="inlineStr">
        <is>
          <t>Design</t>
        </is>
      </c>
      <c r="G16" s="3" t="inlineStr">
        <is>
          <t>—</t>
        </is>
      </c>
    </row>
    <row r="17">
      <c r="A17" s="3" t="inlineStr">
        <is>
          <t>R16</t>
        </is>
      </c>
      <c r="B17" s="3" t="inlineStr">
        <is>
          <t>AI-generated code quality / subtle bugs</t>
        </is>
      </c>
      <c r="C17" s="3" t="inlineStr">
        <is>
          <t>High</t>
        </is>
      </c>
      <c r="D17" s="3" t="inlineStr">
        <is>
          <t>Medium</t>
        </is>
      </c>
      <c r="E17" s="3" t="inlineStr">
        <is>
          <t>Spec-first tasks, small PRs, CI gates, 2-human review on protected areas, E2E per feature</t>
        </is>
      </c>
      <c r="F17" s="3" t="inlineStr">
        <is>
          <t>Tech lead</t>
        </is>
      </c>
      <c r="G17" s="3" t="inlineStr">
        <is>
          <t>—</t>
        </is>
      </c>
    </row>
    <row r="18">
      <c r="A18" s="3" t="inlineStr">
        <is>
          <t>R17</t>
        </is>
      </c>
      <c r="B18" s="3" t="inlineStr">
        <is>
          <t>E2E flakiness slows releases</t>
        </is>
      </c>
      <c r="C18" s="3" t="inlineStr">
        <is>
          <t>Medium</t>
        </is>
      </c>
      <c r="D18" s="3" t="inlineStr">
        <is>
          <t>Medium</t>
        </is>
      </c>
      <c r="E18" s="3" t="inlineStr">
        <is>
          <t>Test clock + drain, seeded data, 1 retry max, quarantine lane, flake budget</t>
        </is>
      </c>
      <c r="F18" s="3" t="inlineStr">
        <is>
          <t>SDET</t>
        </is>
      </c>
      <c r="G18" s="3" t="inlineStr">
        <is>
          <t>—</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6" customWidth="1" min="3" max="3"/>
    <col width="50" customWidth="1" min="4" max="4"/>
  </cols>
  <sheetData>
    <row r="1">
      <c r="A1" s="2" t="inlineStr">
        <is>
          <t>ADR</t>
        </is>
      </c>
      <c r="B1" s="2" t="inlineStr">
        <is>
          <t>Decision</t>
        </is>
      </c>
      <c r="C1" s="2" t="inlineStr">
        <is>
          <t>Status</t>
        </is>
      </c>
      <c r="D1" s="2" t="inlineStr">
        <is>
          <t>File</t>
        </is>
      </c>
    </row>
    <row r="2">
      <c r="A2" s="3" t="inlineStr">
        <is>
          <t>ADR-0001</t>
        </is>
      </c>
      <c r="B2" s="3" t="inlineStr">
        <is>
          <t>Separate governance/catalog from execution</t>
        </is>
      </c>
      <c r="C2" s="3" t="inlineStr">
        <is>
          <t>Accepted (pending G1)</t>
        </is>
      </c>
      <c r="D2" s="3" t="inlineStr">
        <is>
          <t>ADR-0001-governance-execution-separation.md</t>
        </is>
      </c>
    </row>
    <row r="3">
      <c r="A3" s="3" t="inlineStr">
        <is>
          <t>ADR-0002</t>
        </is>
      </c>
      <c r="B3" s="3" t="inlineStr">
        <is>
          <t>PostgreSQL 16+ is the only system of record (not MariaDB/MySQL)</t>
        </is>
      </c>
      <c r="C3" s="3" t="inlineStr">
        <is>
          <t>Accepted</t>
        </is>
      </c>
      <c r="D3" s="3" t="inlineStr">
        <is>
          <t>ADR-0002-postgres-system-of-record.md</t>
        </is>
      </c>
    </row>
    <row r="4">
      <c r="A4" s="3" t="inlineStr">
        <is>
          <t>ADR-0003</t>
        </is>
      </c>
      <c r="B4" s="3" t="inlineStr">
        <is>
          <t>Canonical, versioned workflow IR</t>
        </is>
      </c>
      <c r="C4" s="3" t="inlineStr">
        <is>
          <t>Accepted</t>
        </is>
      </c>
      <c r="D4" s="3" t="inlineStr">
        <is>
          <t>ADR-0003-versioned-ir.md</t>
        </is>
      </c>
    </row>
    <row r="5">
      <c r="A5" s="3" t="inlineStr">
        <is>
          <t>ADR-0004</t>
        </is>
      </c>
      <c r="B5" s="3" t="inlineStr">
        <is>
          <t>Step builder is the default authoring UX; BPMN is optional</t>
        </is>
      </c>
      <c r="C5" s="3" t="inlineStr">
        <is>
          <t>Accepted</t>
        </is>
      </c>
      <c r="D5" s="3" t="inlineStr">
        <is>
          <t>ADR-0004-step-builder-first.md</t>
        </is>
      </c>
    </row>
    <row r="6">
      <c r="A6" s="3" t="inlineStr">
        <is>
          <t>ADR-0005</t>
        </is>
      </c>
      <c r="B6" s="3" t="inlineStr">
        <is>
          <t>Transactional outbox/inbox and idempotency keys</t>
        </is>
      </c>
      <c r="C6" s="3" t="inlineStr">
        <is>
          <t>Accepted</t>
        </is>
      </c>
      <c r="D6" s="3" t="inlineStr">
        <is>
          <t>ADR-0005-outbox-idempotency.md</t>
        </is>
      </c>
    </row>
    <row r="7">
      <c r="A7" s="3" t="inlineStr">
        <is>
          <t>ADR-0006</t>
        </is>
      </c>
      <c r="B7" s="3" t="inlineStr">
        <is>
          <t>AI outputs are drafts behind a human gate</t>
        </is>
      </c>
      <c r="C7" s="3" t="inlineStr">
        <is>
          <t>Accepted</t>
        </is>
      </c>
      <c r="D7" s="3" t="inlineStr">
        <is>
          <t>ADR-0006-ai-human-gate.md</t>
        </is>
      </c>
    </row>
    <row r="8">
      <c r="A8" s="3" t="inlineStr">
        <is>
          <t>ADR-0007</t>
        </is>
      </c>
      <c r="B8" s="3" t="inlineStr">
        <is>
          <t>Modular monolith with separate worker/scheduler processes</t>
        </is>
      </c>
      <c r="C8" s="3" t="inlineStr">
        <is>
          <t>Accepted</t>
        </is>
      </c>
      <c r="D8" s="3" t="inlineStr">
        <is>
          <t>ADR-0007-modular-monolith.md</t>
        </is>
      </c>
    </row>
    <row r="9">
      <c r="A9" s="3" t="inlineStr">
        <is>
          <t>ADR-0008</t>
        </is>
      </c>
      <c r="B9" s="3" t="inlineStr">
        <is>
          <t>Workspace is the tenant; layered isolation</t>
        </is>
      </c>
      <c r="C9" s="3" t="inlineStr">
        <is>
          <t>Accepted (revised per product direction 2026-10-11)</t>
        </is>
      </c>
      <c r="D9" s="3" t="inlineStr">
        <is>
          <t>ADR-0008-workspace-tenancy.md</t>
        </is>
      </c>
    </row>
    <row r="10">
      <c r="A10" s="3" t="inlineStr">
        <is>
          <t>ADR-0009</t>
        </is>
      </c>
      <c r="B10" s="3" t="inlineStr">
        <is>
          <t>Message broker is optional</t>
        </is>
      </c>
      <c r="C10" s="3" t="inlineStr">
        <is>
          <t>Accepted</t>
        </is>
      </c>
      <c r="D10" s="3" t="inlineStr">
        <is>
          <t>ADR-0009-broker-optional.md</t>
        </is>
      </c>
    </row>
    <row r="11">
      <c r="A11" s="3" t="inlineStr">
        <is>
          <t>ADR-0010</t>
        </is>
      </c>
      <c r="B11" s="3" t="inlineStr">
        <is>
          <t>Typed, total expression language</t>
        </is>
      </c>
      <c r="C11" s="3" t="inlineStr">
        <is>
          <t>Recommended: CEL with Procera extensions (SP-08, 2026-10-11); final acceptance at G1</t>
        </is>
      </c>
      <c r="D11" s="3" t="inlineStr">
        <is>
          <t>ADR-0010-expression-language.md</t>
        </is>
      </c>
    </row>
    <row r="12">
      <c r="A12" s="3" t="inlineStr">
        <is>
          <t>ADR-0011</t>
        </is>
      </c>
      <c r="B12" s="3" t="inlineStr">
        <is>
          <t>Cedar embedded for authorization</t>
        </is>
      </c>
      <c r="C12" s="3" t="inlineStr">
        <is>
          <t>Validated by SP-09 (2026-10-11); acceptance at G1</t>
        </is>
      </c>
      <c r="D12" s="3" t="inlineStr">
        <is>
          <t>ADR-0011-authorization-engine.md</t>
        </is>
      </c>
    </row>
    <row r="13">
      <c r="A13" s="3" t="inlineStr">
        <is>
          <t>ADR-0012</t>
        </is>
      </c>
      <c r="B13" s="3" t="inlineStr">
        <is>
          <t>Release bundle pins every dependency of a definition</t>
        </is>
      </c>
      <c r="C13" s="3" t="inlineStr">
        <is>
          <t>Accepted</t>
        </is>
      </c>
      <c r="D13" s="3" t="inlineStr">
        <is>
          <t>ADR-0012-release-bundle.md</t>
        </is>
      </c>
    </row>
    <row r="14">
      <c r="A14" s="3" t="inlineStr">
        <is>
          <t>ADR-0013</t>
        </is>
      </c>
      <c r="B14" s="3" t="inlineStr">
        <is>
          <t>Structured block model for SOP/policy content</t>
        </is>
      </c>
      <c r="C14" s="3" t="inlineStr">
        <is>
          <t>Accepted</t>
        </is>
      </c>
      <c r="D14" s="3" t="inlineStr">
        <is>
          <t>ADR-0013-sop-content-model.md</t>
        </is>
      </c>
    </row>
    <row r="15">
      <c r="A15" s="3" t="inlineStr">
        <is>
          <t>ADR-0014</t>
        </is>
      </c>
      <c r="B15" s="3" t="inlineStr">
        <is>
          <t>Apache-2.0, DCO, permissive-only dependencies</t>
        </is>
      </c>
      <c r="C15" s="3" t="inlineStr">
        <is>
          <t>Proposed (OQ-06)</t>
        </is>
      </c>
      <c r="D15" s="3" t="inlineStr">
        <is>
          <t>ADR-0014-licensing-and-contribution.md</t>
        </is>
      </c>
    </row>
    <row r="16">
      <c r="A16" s="3" t="inlineStr">
        <is>
          <t>ADR-0015</t>
        </is>
      </c>
      <c r="B16" s="3" t="inlineStr">
        <is>
          <t>Runtime: native Rust interpreter primary</t>
        </is>
      </c>
      <c r="C16" s="3" t="inlineStr">
        <is>
          <t>Recommended: native interpreter (SP-01…06 all pass, 2026-10-11); final acceptance at G1</t>
        </is>
      </c>
      <c r="D16" s="3" t="inlineStr">
        <is>
          <t>ADR-0015-runtime-selection.md</t>
        </is>
      </c>
    </row>
    <row r="17">
      <c r="A17" s="3" t="inlineStr">
        <is>
          <t>ADR-0016</t>
        </is>
      </c>
      <c r="B17" s="3" t="inlineStr">
        <is>
          <t>Standalone first; integrations later via ports</t>
        </is>
      </c>
      <c r="C17" s="3" t="inlineStr">
        <is>
          <t>Accepted (product direction 2026-10-11)</t>
        </is>
      </c>
      <c r="D17" s="3" t="inlineStr">
        <is>
          <t>ADR-0016-standalone-first.md</t>
        </is>
      </c>
    </row>
    <row r="18">
      <c r="A18" s="3" t="inlineStr">
        <is>
          <t>ADR-0017</t>
        </is>
      </c>
      <c r="B18" s="3" t="inlineStr">
        <is>
          <t>One acknowledgement &amp; signature campaign engine</t>
        </is>
      </c>
      <c r="C18" s="3" t="inlineStr">
        <is>
          <t>Accepted</t>
        </is>
      </c>
      <c r="D18" s="3" t="inlineStr">
        <is>
          <t>ADR-0017-unified-campaign-engine.md</t>
        </is>
      </c>
    </row>
    <row r="19">
      <c r="A19" s="3" t="inlineStr">
        <is>
          <t>ADR-0018</t>
        </is>
      </c>
      <c r="B19" s="3" t="inlineStr">
        <is>
          <t>UI stack and canvas libraries</t>
        </is>
      </c>
      <c r="C19" s="3" t="inlineStr">
        <is>
          <t>Accepted</t>
        </is>
      </c>
      <c r="D19" s="3" t="inlineStr">
        <is>
          <t>ADR-0018-ui-stack-and-canvas.md</t>
        </is>
      </c>
    </row>
    <row r="20">
      <c r="A20" s="3" t="inlineStr">
        <is>
          <t>ADR-0019</t>
        </is>
      </c>
      <c r="B20" s="3" t="inlineStr">
        <is>
          <t>Redis-protocol cache (Valkey default) as a standard, non-authoritative component</t>
        </is>
      </c>
      <c r="C20" s="3" t="inlineStr">
        <is>
          <t>Accepted</t>
        </is>
      </c>
      <c r="D20" s="3" t="inlineStr">
        <is>
          <t>ADR-0019-valkey-redis-cache.md</t>
        </is>
      </c>
    </row>
    <row r="21">
      <c r="A21" s="3" t="inlineStr">
        <is>
          <t>ADR-0020</t>
        </is>
      </c>
      <c r="B21" s="3" t="inlineStr">
        <is>
          <t>JWT access tokens with rotating refresh tokens (no server-side sessions)</t>
        </is>
      </c>
      <c r="C21" s="3" t="inlineStr">
        <is>
          <t>Accepted</t>
        </is>
      </c>
      <c r="D21" s="3" t="inlineStr">
        <is>
          <t>ADR-0020-jwt-access-tokens.md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50" customWidth="1" min="3" max="3"/>
    <col width="50" customWidth="1" min="4" max="4"/>
    <col width="14" customWidth="1" min="5" max="5"/>
    <col width="20" customWidth="1" min="6" max="6"/>
  </cols>
  <sheetData>
    <row r="1">
      <c r="A1" s="2" t="inlineStr">
        <is>
          <t>Source</t>
        </is>
      </c>
      <c r="B1" s="2" t="inlineStr">
        <is>
          <t>ID</t>
        </is>
      </c>
      <c r="C1" s="2" t="inlineStr">
        <is>
          <t>Test</t>
        </is>
      </c>
      <c r="D1" s="2" t="inlineStr">
        <is>
          <t>Pass condition</t>
        </is>
      </c>
      <c r="E1" s="2" t="inlineStr">
        <is>
          <t>Phase/M</t>
        </is>
      </c>
      <c r="F1" s="2" t="inlineStr">
        <is>
          <t>Extra</t>
        </is>
      </c>
    </row>
    <row r="2">
      <c r="A2" s="3" t="inlineStr">
        <is>
          <t>06-SECURITY-AND-OPERATIONS.md</t>
        </is>
      </c>
      <c r="B2" s="3" t="inlineStr">
        <is>
          <t>SEC-01</t>
        </is>
      </c>
      <c r="C2" s="3" t="inlineStr">
        <is>
          <t>Cross-workspace process read</t>
        </is>
      </c>
      <c r="D2" s="3" t="inlineStr">
        <is>
          <t>404 + `authz.denied` audit</t>
        </is>
      </c>
      <c r="E2" s="3" t="inlineStr">
        <is>
          <t>P1 alpha</t>
        </is>
      </c>
      <c r="F2" s="3" t="inlineStr"/>
    </row>
    <row r="3">
      <c r="A3" s="3" t="inlineStr">
        <is>
          <t>06-SECURITY-AND-OPERATIONS.md</t>
        </is>
      </c>
      <c r="B3" s="3" t="inlineStr">
        <is>
          <t>SEC-02</t>
        </is>
      </c>
      <c r="C3" s="3" t="inlineStr">
        <is>
          <t>Cross-workspace task approve</t>
        </is>
      </c>
      <c r="D3" s="3" t="inlineStr">
        <is>
          <t>404; no state change</t>
        </is>
      </c>
      <c r="E3" s="3" t="inlineStr">
        <is>
          <t>Beta</t>
        </is>
      </c>
      <c r="F3" s="3" t="inlineStr"/>
    </row>
    <row r="4">
      <c r="A4" s="3" t="inlineStr">
        <is>
          <t>06-SECURITY-AND-OPERATIONS.md</t>
        </is>
      </c>
      <c r="B4" s="3" t="inlineStr">
        <is>
          <t>SEC-03</t>
        </is>
      </c>
      <c r="C4" s="3" t="inlineStr">
        <is>
          <t>Field-level redaction parity (API, export, search, notification, AI prompt)</t>
        </is>
      </c>
      <c r="D4" s="3" t="inlineStr">
        <is>
          <t>Identical redaction everywhere</t>
        </is>
      </c>
      <c r="E4" s="3" t="inlineStr">
        <is>
          <t>Beta</t>
        </is>
      </c>
      <c r="F4" s="3" t="inlineStr"/>
    </row>
    <row r="5">
      <c r="A5" s="3" t="inlineStr">
        <is>
          <t>06-SECURITY-AND-OPERATIONS.md</t>
        </is>
      </c>
      <c r="B5" s="3" t="inlineStr">
        <is>
          <t>SEC-04</t>
        </is>
      </c>
      <c r="C5" s="3" t="inlineStr">
        <is>
          <t>Revoked/deactivated identity cannot act</t>
        </is>
      </c>
      <c r="D5" s="3" t="inlineStr">
        <is>
          <t>Immediate 401/403; sessions/tokens dead</t>
        </is>
      </c>
      <c r="E5" s="3" t="inlineStr">
        <is>
          <t>Alpha</t>
        </is>
      </c>
      <c r="F5" s="3" t="inlineStr"/>
    </row>
    <row r="6">
      <c r="A6" s="3" t="inlineStr">
        <is>
          <t>06-SECURITY-AND-OPERATIONS.md</t>
        </is>
      </c>
      <c r="B6" s="3" t="inlineStr">
        <is>
          <t>SEC-05</t>
        </is>
      </c>
      <c r="C6" s="3" t="inlineStr">
        <is>
          <t>Webhook replay / bad signature / stale timestamp</t>
        </is>
      </c>
      <c r="D6" s="3" t="inlineStr">
        <is>
          <t>Rejected; no duplicate effect</t>
        </is>
      </c>
      <c r="E6" s="3" t="inlineStr">
        <is>
          <t>RC</t>
        </is>
      </c>
      <c r="F6" s="3" t="inlineStr"/>
    </row>
    <row r="7">
      <c r="A7" s="3" t="inlineStr">
        <is>
          <t>06-SECURITY-AND-OPERATIONS.md</t>
        </is>
      </c>
      <c r="B7" s="3" t="inlineStr">
        <is>
          <t>SEC-06</t>
        </is>
      </c>
      <c r="C7" s="3" t="inlineStr">
        <is>
          <t>Connector SSRF (private IPs, metadata)</t>
        </is>
      </c>
      <c r="D7" s="3" t="inlineStr">
        <is>
          <t>Blocked at egress proxy</t>
        </is>
      </c>
      <c r="E7" s="3" t="inlineStr">
        <is>
          <t>RC</t>
        </is>
      </c>
      <c r="F7" s="3" t="inlineStr"/>
    </row>
    <row r="8">
      <c r="A8" s="3" t="inlineStr">
        <is>
          <t>06-SECURITY-AND-OPERATIONS.md</t>
        </is>
      </c>
      <c r="B8" s="3" t="inlineStr">
        <is>
          <t>SEC-07</t>
        </is>
      </c>
      <c r="C8" s="3" t="inlineStr">
        <is>
          <t>Audit export scoped to workspace and permission</t>
        </is>
      </c>
      <c r="D8" s="3" t="inlineStr">
        <is>
          <t>No foreign rows</t>
        </is>
      </c>
      <c r="E8" s="3" t="inlineStr">
        <is>
          <t>Alpha</t>
        </is>
      </c>
      <c r="F8" s="3" t="inlineStr"/>
    </row>
    <row r="9">
      <c r="A9" s="3" t="inlineStr">
        <is>
          <t>06-SECURITY-AND-OPERATIONS.md</t>
        </is>
      </c>
      <c r="B9" s="3" t="inlineStr">
        <is>
          <t>SEC-08</t>
        </is>
      </c>
      <c r="C9" s="3" t="inlineStr">
        <is>
          <t>Privilege escalation via delegation</t>
        </is>
      </c>
      <c r="D9" s="3" t="inlineStr">
        <is>
          <t>Blocked; delegate ≤ delegator</t>
        </is>
      </c>
      <c r="E9" s="3" t="inlineStr">
        <is>
          <t>Beta</t>
        </is>
      </c>
      <c r="F9" s="3" t="inlineStr"/>
    </row>
    <row r="10">
      <c r="A10" s="3" t="inlineStr">
        <is>
          <t>06-SECURITY-AND-OPERATIONS.md</t>
        </is>
      </c>
      <c r="B10" s="3" t="inlineStr">
        <is>
          <t>SEC-09</t>
        </is>
      </c>
      <c r="C10" s="3" t="inlineStr">
        <is>
          <t>Unsafe BPMN (scripts, XXE, entity bombs)</t>
        </is>
      </c>
      <c r="D10" s="3" t="inlineStr">
        <is>
          <t>Rejected with diagnostics</t>
        </is>
      </c>
      <c r="E10" s="3" t="inlineStr">
        <is>
          <t>Beta</t>
        </is>
      </c>
      <c r="F10" s="3" t="inlineStr"/>
    </row>
    <row r="11">
      <c r="A11" s="3" t="inlineStr">
        <is>
          <t>06-SECURITY-AND-OPERATIONS.md</t>
        </is>
      </c>
      <c r="B11" s="3" t="inlineStr">
        <is>
          <t>SEC-10</t>
        </is>
      </c>
      <c r="C11" s="3" t="inlineStr">
        <is>
          <t>Signed URL expiry &amp; workspace binding</t>
        </is>
      </c>
      <c r="D11" s="3" t="inlineStr">
        <is>
          <t>Expired/foreign → denied</t>
        </is>
      </c>
      <c r="E11" s="3" t="inlineStr">
        <is>
          <t>Alpha</t>
        </is>
      </c>
      <c r="F11" s="3" t="inlineStr"/>
    </row>
    <row r="12">
      <c r="A12" s="3" t="inlineStr">
        <is>
          <t>06-SECURITY-AND-OPERATIONS.md</t>
        </is>
      </c>
      <c r="B12" s="3" t="inlineStr">
        <is>
          <t>SEC-11</t>
        </is>
      </c>
      <c r="C12" s="3" t="inlineStr">
        <is>
          <t>Session fixation</t>
        </is>
      </c>
      <c r="D12" s="3" t="inlineStr">
        <is>
          <t>Session id rotated on login/MFA/step-up</t>
        </is>
      </c>
      <c r="E12" s="3" t="inlineStr">
        <is>
          <t>Alpha</t>
        </is>
      </c>
      <c r="F12" s="3" t="inlineStr"/>
    </row>
    <row r="13">
      <c r="A13" s="3" t="inlineStr">
        <is>
          <t>06-SECURITY-AND-OPERATIONS.md</t>
        </is>
      </c>
      <c r="B13" s="3" t="inlineStr">
        <is>
          <t>SEC-12</t>
        </is>
      </c>
      <c r="C13" s="3" t="inlineStr">
        <is>
          <t>Brute force / credential stuffing</t>
        </is>
      </c>
      <c r="D13" s="3" t="inlineStr">
        <is>
          <t>Backoff + lockout + alert; no user enumeration</t>
        </is>
      </c>
      <c r="E13" s="3" t="inlineStr">
        <is>
          <t>Alpha</t>
        </is>
      </c>
      <c r="F13" s="3" t="inlineStr"/>
    </row>
    <row r="14">
      <c r="A14" s="3" t="inlineStr">
        <is>
          <t>06-SECURITY-AND-OPERATIONS.md</t>
        </is>
      </c>
      <c r="B14" s="3" t="inlineStr">
        <is>
          <t>SEC-13</t>
        </is>
      </c>
      <c r="C14" s="3" t="inlineStr">
        <is>
          <t>CSRF on every mutating route</t>
        </is>
      </c>
      <c r="D14" s="3" t="inlineStr">
        <is>
          <t>Missing/foreign Origin or token → 403</t>
        </is>
      </c>
      <c r="E14" s="3" t="inlineStr">
        <is>
          <t>Alpha</t>
        </is>
      </c>
      <c r="F14" s="3" t="inlineStr"/>
    </row>
    <row r="15">
      <c r="A15" s="3" t="inlineStr">
        <is>
          <t>06-SECURITY-AND-OPERATIONS.md</t>
        </is>
      </c>
      <c r="B15" s="3" t="inlineStr">
        <is>
          <t>SEC-14</t>
        </is>
      </c>
      <c r="C15" s="3" t="inlineStr">
        <is>
          <t>Refresh token reuse</t>
        </is>
      </c>
      <c r="D15" s="3" t="inlineStr">
        <is>
          <t>Family revoked; `security.token_reuse`</t>
        </is>
      </c>
      <c r="E15" s="3" t="inlineStr">
        <is>
          <t>Alpha</t>
        </is>
      </c>
      <c r="F15" s="3" t="inlineStr"/>
    </row>
    <row r="16">
      <c r="A16" s="3" t="inlineStr">
        <is>
          <t>06-SECURITY-AND-OPERATIONS.md</t>
        </is>
      </c>
      <c r="B16" s="3" t="inlineStr">
        <is>
          <t>SEC-15</t>
        </is>
      </c>
      <c r="C16" s="3" t="inlineStr">
        <is>
          <t>Magic-link replay / expiry / wrong item</t>
        </is>
      </c>
      <c r="D16" s="3" t="inlineStr">
        <is>
          <t>Rejected</t>
        </is>
      </c>
      <c r="E16" s="3" t="inlineStr">
        <is>
          <t>RC</t>
        </is>
      </c>
      <c r="F16" s="3" t="inlineStr"/>
    </row>
    <row r="17">
      <c r="A17" s="3" t="inlineStr">
        <is>
          <t>06-SECURITY-AND-OPERATIONS.md</t>
        </is>
      </c>
      <c r="B17" s="3" t="inlineStr">
        <is>
          <t>SEC-16</t>
        </is>
      </c>
      <c r="C17" s="3" t="inlineStr">
        <is>
          <t>MFA bypass attempts (skip step, TOTP replay)</t>
        </is>
      </c>
      <c r="D17" s="3" t="inlineStr">
        <is>
          <t>Denied</t>
        </is>
      </c>
      <c r="E17" s="3" t="inlineStr">
        <is>
          <t>Alpha</t>
        </is>
      </c>
      <c r="F17" s="3" t="inlineStr"/>
    </row>
    <row r="18">
      <c r="A18" s="3" t="inlineStr">
        <is>
          <t>06-SECURITY-AND-OPERATIONS.md</t>
        </is>
      </c>
      <c r="B18" s="3" t="inlineStr">
        <is>
          <t>SEC-17</t>
        </is>
      </c>
      <c r="C18" s="3" t="inlineStr">
        <is>
          <t>Step-up required actions without recent auth</t>
        </is>
      </c>
      <c r="D18" s="3" t="inlineStr">
        <is>
          <t>401 `step_up_required`</t>
        </is>
      </c>
      <c r="E18" s="3" t="inlineStr">
        <is>
          <t>Beta</t>
        </is>
      </c>
      <c r="F18" s="3" t="inlineStr"/>
    </row>
    <row r="19">
      <c r="A19" s="3" t="inlineStr">
        <is>
          <t>06-SECURITY-AND-OPERATIONS.md</t>
        </is>
      </c>
      <c r="B19" s="3" t="inlineStr">
        <is>
          <t>SEC-18</t>
        </is>
      </c>
      <c r="C19" s="3" t="inlineStr">
        <is>
          <t>Signed URL used from another workspace session</t>
        </is>
      </c>
      <c r="D19" s="3" t="inlineStr">
        <is>
          <t>Denied</t>
        </is>
      </c>
      <c r="E19" s="3" t="inlineStr">
        <is>
          <t>Alpha</t>
        </is>
      </c>
      <c r="F19" s="3" t="inlineStr"/>
    </row>
    <row r="20">
      <c r="A20" s="3" t="inlineStr">
        <is>
          <t>06-SECURITY-AND-OPERATIONS.md</t>
        </is>
      </c>
      <c r="B20" s="3" t="inlineStr">
        <is>
          <t>SEC-19</t>
        </is>
      </c>
      <c r="C20" s="3" t="inlineStr">
        <is>
          <t>Quarantine bypass (download before clean, EICAR)</t>
        </is>
      </c>
      <c r="D20" s="3" t="inlineStr">
        <is>
          <t>Never served</t>
        </is>
      </c>
      <c r="E20" s="3" t="inlineStr">
        <is>
          <t>Alpha</t>
        </is>
      </c>
      <c r="F20" s="3" t="inlineStr"/>
    </row>
    <row r="21">
      <c r="A21" s="3" t="inlineStr">
        <is>
          <t>06-SECURITY-AND-OPERATIONS.md</t>
        </is>
      </c>
      <c r="B21" s="3" t="inlineStr">
        <is>
          <t>SEC-20</t>
        </is>
      </c>
      <c r="C21" s="3" t="inlineStr">
        <is>
          <t>Malicious file types: SVG XSS, HTML, polyglot PDF, zip bomb, OOXML XXE</t>
        </is>
      </c>
      <c r="D21" s="3" t="inlineStr">
        <is>
          <t>Neutralised/rejected</t>
        </is>
      </c>
      <c r="E21" s="3" t="inlineStr">
        <is>
          <t>Beta</t>
        </is>
      </c>
      <c r="F21" s="3" t="inlineStr"/>
    </row>
    <row r="22">
      <c r="A22" s="3" t="inlineStr">
        <is>
          <t>06-SECURITY-AND-OPERATIONS.md</t>
        </is>
      </c>
      <c r="B22" s="3" t="inlineStr">
        <is>
          <t>SEC-21</t>
        </is>
      </c>
      <c r="C22" s="3" t="inlineStr">
        <is>
          <t>Route-table authz coverage + BFLA (member calling admin APIs)</t>
        </is>
      </c>
      <c r="D22" s="3" t="inlineStr">
        <is>
          <t>Every route declares action; denied</t>
        </is>
      </c>
      <c r="E22" s="3" t="inlineStr">
        <is>
          <t>Alpha</t>
        </is>
      </c>
      <c r="F22" s="3" t="inlineStr"/>
    </row>
    <row r="23">
      <c r="A23" s="3" t="inlineStr">
        <is>
          <t>06-SECURITY-AND-OPERATIONS.md</t>
        </is>
      </c>
      <c r="B23" s="3" t="inlineStr">
        <is>
          <t>SEC-22</t>
        </is>
      </c>
      <c r="C23" s="3" t="inlineStr">
        <is>
          <t>Stored/DOM XSS corpus in SOP, comments, labels; CSP violation reports</t>
        </is>
      </c>
      <c r="D23" s="3" t="inlineStr">
        <is>
          <t>No execution; CSP blocks</t>
        </is>
      </c>
      <c r="E23" s="3" t="inlineStr">
        <is>
          <t>Alpha</t>
        </is>
      </c>
      <c r="F23" s="3" t="inlineStr"/>
    </row>
    <row r="24">
      <c r="A24" s="3" t="inlineStr">
        <is>
          <t>06-SECURITY-AND-OPERATIONS.md</t>
        </is>
      </c>
      <c r="B24" s="3" t="inlineStr">
        <is>
          <t>SEC-23</t>
        </is>
      </c>
      <c r="C24" s="3" t="inlineStr">
        <is>
          <t>Admin access-logging of restricted reads</t>
        </is>
      </c>
      <c r="D24" s="3" t="inlineStr">
        <is>
          <t>Every read produces `audit.data_access`</t>
        </is>
      </c>
      <c r="E24" s="3" t="inlineStr">
        <is>
          <t>Beta</t>
        </is>
      </c>
      <c r="F24" s="3" t="inlineStr"/>
    </row>
    <row r="25">
      <c r="A25" s="3" t="inlineStr">
        <is>
          <t>06-SECURITY-AND-OPERATIONS.md</t>
        </is>
      </c>
      <c r="B25" s="3" t="inlineStr">
        <is>
          <t>SEC-24</t>
        </is>
      </c>
      <c r="C25" s="3" t="inlineStr">
        <is>
          <t>Rate limits (auth, API, export, search)</t>
        </is>
      </c>
      <c r="D25" s="3" t="inlineStr">
        <is>
          <t>429 with Retry-After; no starvation of other workspaces</t>
        </is>
      </c>
      <c r="E25" s="3" t="inlineStr">
        <is>
          <t>Beta</t>
        </is>
      </c>
      <c r="F25" s="3" t="inlineStr"/>
    </row>
    <row r="26">
      <c r="A26" s="3" t="inlineStr">
        <is>
          <t>06-SECURITY-AND-OPERATIONS.md</t>
        </is>
      </c>
      <c r="B26" s="3" t="inlineStr">
        <is>
          <t>SEC-25</t>
        </is>
      </c>
      <c r="C26" s="3" t="inlineStr">
        <is>
          <t>SSRF variants: DNS rebinding, redirects, IPv6-mapped, decimal IPs</t>
        </is>
      </c>
      <c r="D26" s="3" t="inlineStr">
        <is>
          <t>Blocked</t>
        </is>
      </c>
      <c r="E26" s="3" t="inlineStr">
        <is>
          <t>RC</t>
        </is>
      </c>
      <c r="F26" s="3" t="inlineStr"/>
    </row>
    <row r="27">
      <c r="A27" s="3" t="inlineStr">
        <is>
          <t>06-SECURITY-AND-OPERATIONS.md</t>
        </is>
      </c>
      <c r="B27" s="3" t="inlineStr">
        <is>
          <t>SEC-26</t>
        </is>
      </c>
      <c r="C27" s="3" t="inlineStr">
        <is>
          <t>Archive limits (ratio, depth, entries)</t>
        </is>
      </c>
      <c r="D27" s="3" t="inlineStr">
        <is>
          <t>Rejected safely</t>
        </is>
      </c>
      <c r="E27" s="3" t="inlineStr">
        <is>
          <t>Beta</t>
        </is>
      </c>
      <c r="F27" s="3" t="inlineStr"/>
    </row>
    <row r="28">
      <c r="A28" s="3" t="inlineStr">
        <is>
          <t>06-SECURITY-AND-OPERATIONS.md</t>
        </is>
      </c>
      <c r="B28" s="3" t="inlineStr">
        <is>
          <t>SEC-27</t>
        </is>
      </c>
      <c r="C28" s="3" t="inlineStr">
        <is>
          <t>Expression/rule budget exhaustion, deep JSON</t>
        </is>
      </c>
      <c r="D28" s="3" t="inlineStr">
        <is>
          <t>Incident raised; worker healthy</t>
        </is>
      </c>
      <c r="E28" s="3" t="inlineStr">
        <is>
          <t>Beta</t>
        </is>
      </c>
      <c r="F28" s="3" t="inlineStr"/>
    </row>
    <row r="29">
      <c r="A29" s="3" t="inlineStr">
        <is>
          <t>06-SECURITY-AND-OPERATIONS.md</t>
        </is>
      </c>
      <c r="B29" s="3" t="inlineStr">
        <is>
          <t>SEC-28</t>
        </is>
      </c>
      <c r="C29" s="3" t="inlineStr">
        <is>
          <t>Worker isolation: conversion/scan worker egress &amp; DB access</t>
        </is>
      </c>
      <c r="D29" s="3" t="inlineStr">
        <is>
          <t>None possible</t>
        </is>
      </c>
      <c r="E29" s="3" t="inlineStr">
        <is>
          <t>RC</t>
        </is>
      </c>
      <c r="F29" s="3" t="inlineStr"/>
    </row>
    <row r="30">
      <c r="A30" s="3" t="inlineStr">
        <is>
          <t>06-SECURITY-AND-OPERATIONS.md</t>
        </is>
      </c>
      <c r="B30" s="3" t="inlineStr">
        <is>
          <t>SEC-29</t>
        </is>
      </c>
      <c r="C30" s="3" t="inlineStr">
        <is>
          <t>Custom-role escalation (grant &gt; own, self-grant role:manage)</t>
        </is>
      </c>
      <c r="D30" s="3" t="inlineStr">
        <is>
          <t>Rejected; step-up demanded</t>
        </is>
      </c>
      <c r="E30" s="3" t="inlineStr">
        <is>
          <t>Alpha</t>
        </is>
      </c>
      <c r="F30" s="3" t="inlineStr"/>
    </row>
    <row r="31">
      <c r="A31" s="3" t="inlineStr">
        <is>
          <t>06-SECURITY-AND-OPERATIONS.md</t>
        </is>
      </c>
      <c r="B31" s="3" t="inlineStr">
        <is>
          <t>SEC-30</t>
        </is>
      </c>
      <c r="C31" s="3" t="inlineStr">
        <is>
          <t>Email-action link GET (prefetch) mutation</t>
        </is>
      </c>
      <c r="D31" s="3" t="inlineStr">
        <is>
          <t>No mutation; confirm page only</t>
        </is>
      </c>
      <c r="E31" s="3" t="inlineStr">
        <is>
          <t>RC</t>
        </is>
      </c>
      <c r="F31" s="3" t="inlineStr"/>
    </row>
    <row r="32">
      <c r="A32" s="3" t="inlineStr">
        <is>
          <t>06-SECURITY-AND-OPERATIONS.md</t>
        </is>
      </c>
      <c r="B32" s="3" t="inlineStr">
        <is>
          <t>SEC-31</t>
        </is>
      </c>
      <c r="C32" s="3" t="inlineStr">
        <is>
          <t>Cross-workspace via cache/search/notification paths</t>
        </is>
      </c>
      <c r="D32" s="3" t="inlineStr">
        <is>
          <t>No leakage</t>
        </is>
      </c>
      <c r="E32" s="3" t="inlineStr">
        <is>
          <t>Beta</t>
        </is>
      </c>
      <c r="F32" s="3" t="inlineStr"/>
    </row>
    <row r="33">
      <c r="A33" s="3" t="inlineStr">
        <is>
          <t>06-SECURITY-AND-OPERATIONS.md</t>
        </is>
      </c>
      <c r="B33" s="3" t="inlineStr">
        <is>
          <t>SEC-32</t>
        </is>
      </c>
      <c r="C33" s="3" t="inlineStr">
        <is>
          <t>Query without tenant predicate (lint + RLS with missing setting)</t>
        </is>
      </c>
      <c r="D33" s="3" t="inlineStr">
        <is>
          <t>Build fails; runtime 0 rows</t>
        </is>
      </c>
      <c r="E33" s="3" t="inlineStr">
        <is>
          <t>Alpha</t>
        </is>
      </c>
      <c r="F33" s="3" t="inlineStr"/>
    </row>
    <row r="34">
      <c r="A34" s="3" t="inlineStr">
        <is>
          <t>06-SECURITY-AND-OPERATIONS.md</t>
        </is>
      </c>
      <c r="B34" s="3" t="inlineStr">
        <is>
          <t>SEC-33</t>
        </is>
      </c>
      <c r="C34" s="3" t="inlineStr">
        <is>
          <t>Separation mode: admin content access removed; self-grant needs 2nd approver</t>
        </is>
      </c>
      <c r="D34" s="3" t="inlineStr">
        <is>
          <t>Enforced; audited</t>
        </is>
      </c>
      <c r="E34" s="3" t="inlineStr">
        <is>
          <t>RC</t>
        </is>
      </c>
      <c r="F34" s="3" t="inlineStr"/>
    </row>
    <row r="35">
      <c r="A35" s="3" t="inlineStr">
        <is>
          <t>06-SECURITY-AND-OPERATIONS.md</t>
        </is>
      </c>
      <c r="B35" s="3" t="inlineStr">
        <is>
          <t>SEC-34</t>
        </is>
      </c>
      <c r="C35" s="3" t="inlineStr">
        <is>
          <t>System admin content access without break-glass; break-glass visibility</t>
        </is>
      </c>
      <c r="D35" s="3" t="inlineStr">
        <is>
          <t>Denied; banner + workspace audit present</t>
        </is>
      </c>
      <c r="E35" s="3" t="inlineStr">
        <is>
          <t>RC</t>
        </is>
      </c>
      <c r="F35" s="3" t="inlineStr"/>
    </row>
    <row r="36">
      <c r="A36" s="3" t="inlineStr">
        <is>
          <t>06-SECURITY-AND-OPERATIONS.md</t>
        </is>
      </c>
      <c r="B36" s="3" t="inlineStr">
        <is>
          <t>SEC-35</t>
        </is>
      </c>
      <c r="C36" s="3" t="inlineStr">
        <is>
          <t>Audit chain tampering (update, delete, reorder, truncate)</t>
        </is>
      </c>
      <c r="D36" s="3" t="inlineStr">
        <is>
          <t>Verifier detects; DB role cannot update/delete</t>
        </is>
      </c>
      <c r="E36" s="3" t="inlineStr">
        <is>
          <t>Alpha (chain) / RC (checkpoints)</t>
        </is>
      </c>
      <c r="F36" s="3" t="inlineStr"/>
    </row>
    <row r="37">
      <c r="A37" s="3" t="inlineStr">
        <is>
          <t>06-SECURITY-AND-OPERATIONS.md</t>
        </is>
      </c>
      <c r="B37" s="3" t="inlineStr">
        <is>
          <t>SEC-36</t>
        </is>
      </c>
      <c r="C37" s="3" t="inlineStr">
        <is>
          <t>AI prompt injection from content; restricted data in prompts</t>
        </is>
      </c>
      <c r="D37" s="3" t="inlineStr">
        <is>
          <t>No privileged action; restricted never sent</t>
        </is>
      </c>
      <c r="E37" s="3" t="inlineStr">
        <is>
          <t>P2 (with AI)</t>
        </is>
      </c>
      <c r="F37" s="3" t="inlineStr"/>
    </row>
    <row r="38">
      <c r="A38" s="3" t="inlineStr">
        <is>
          <t>06-SECURITY-AND-OPERATIONS.md</t>
        </is>
      </c>
      <c r="B38" s="3" t="inlineStr">
        <is>
          <t>SEC-37</t>
        </is>
      </c>
      <c r="C38" s="3" t="inlineStr">
        <is>
          <t>Supply chain: unsigned/unprovenanced artefact, denied licence, known-vuln dep</t>
        </is>
      </c>
      <c r="D38" s="3" t="inlineStr">
        <is>
          <t>Release pipeline fails</t>
        </is>
      </c>
      <c r="E38" s="3" t="inlineStr">
        <is>
          <t>Alpha</t>
        </is>
      </c>
      <c r="F38" s="3" t="inlineStr"/>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26" customWidth="1" min="1" max="1"/>
    <col width="6" customWidth="1" min="2" max="2"/>
    <col width="40" customWidth="1" min="3" max="3"/>
    <col width="14" customWidth="1" min="4" max="4"/>
    <col width="50" customWidth="1" min="5" max="5"/>
    <col width="10" customWidth="1" min="6" max="6"/>
    <col width="12" customWidth="1" min="7" max="7"/>
  </cols>
  <sheetData>
    <row r="1">
      <c r="A1" s="2" t="inlineStr">
        <is>
          <t>Source</t>
        </is>
      </c>
      <c r="B1" s="2" t="inlineStr">
        <is>
          <t>ID</t>
        </is>
      </c>
      <c r="C1" s="2" t="inlineStr">
        <is>
          <t>Test</t>
        </is>
      </c>
      <c r="D1" s="2" t="inlineStr">
        <is>
          <t>Category</t>
        </is>
      </c>
      <c r="E1" s="2" t="inlineStr">
        <is>
          <t>Pass condition</t>
        </is>
      </c>
      <c r="F1" s="2" t="inlineStr">
        <is>
          <t>Milestone</t>
        </is>
      </c>
      <c r="G1" s="2" t="inlineStr">
        <is>
          <t>Status</t>
        </is>
      </c>
    </row>
    <row r="2">
      <c r="A2" s="3" t="inlineStr">
        <is>
          <t>15-TEST-STRATEGY-AND-CONFORMANCE.md</t>
        </is>
      </c>
      <c r="B2" s="3" t="inlineStr">
        <is>
          <t>T01</t>
        </is>
      </c>
      <c r="C2" s="3" t="inlineStr">
        <is>
          <t>Duplicate approval (race)</t>
        </is>
      </c>
      <c r="D2" s="3" t="inlineStr">
        <is>
          <t>Correctness</t>
        </is>
      </c>
      <c r="E2" s="3" t="inlineStr">
        <is>
          <t>Only one transition commits; loser 409</t>
        </is>
      </c>
      <c r="F2" s="3" t="inlineStr">
        <is>
          <t>M5</t>
        </is>
      </c>
      <c r="G2" s="3" t="inlineStr"/>
    </row>
    <row r="3">
      <c r="A3" s="3" t="inlineStr">
        <is>
          <t>15-TEST-STRATEGY-AND-CONFORMANCE.md</t>
        </is>
      </c>
      <c r="B3" s="3" t="inlineStr">
        <is>
          <t>T02</t>
        </is>
      </c>
      <c r="C3" s="3" t="inlineStr">
        <is>
          <t>Worker killed after commit</t>
        </is>
      </c>
      <c r="D3" s="3" t="inlineStr">
        <is>
          <t>Recovery</t>
        </is>
      </c>
      <c r="E3" s="3" t="inlineStr">
        <is>
          <t>Outbox eventually delivers exactly once to the consumer (dedup)</t>
        </is>
      </c>
      <c r="F3" s="3" t="inlineStr">
        <is>
          <t>M5</t>
        </is>
      </c>
      <c r="G3" s="3" t="inlineStr"/>
    </row>
    <row r="4">
      <c r="A4" s="3" t="inlineStr">
        <is>
          <t>15-TEST-STRATEGY-AND-CONFORMANCE.md</t>
        </is>
      </c>
      <c r="B4" s="3" t="inlineStr">
        <is>
          <t>T03</t>
        </is>
      </c>
      <c r="C4" s="3" t="inlineStr">
        <is>
          <t>30-day wait then resume after republish</t>
        </is>
      </c>
      <c r="D4" s="3" t="inlineStr">
        <is>
          <t>Durability</t>
        </is>
      </c>
      <c r="E4" s="3" t="inlineStr">
        <is>
          <t>Completes on original pinned bundle</t>
        </is>
      </c>
      <c r="F4" s="3" t="inlineStr">
        <is>
          <t>M5</t>
        </is>
      </c>
      <c r="G4" s="3" t="inlineStr"/>
    </row>
    <row r="5">
      <c r="A5" s="3" t="inlineStr">
        <is>
          <t>15-TEST-STRATEGY-AND-CONFORMANCE.md</t>
        </is>
      </c>
      <c r="B5" s="3" t="inlineStr">
        <is>
          <t>T04</t>
        </is>
      </c>
      <c r="C5" s="3" t="inlineStr">
        <is>
          <t>Workspace A reads workspace B</t>
        </is>
      </c>
      <c r="D5" s="3" t="inlineStr">
        <is>
          <t>Security</t>
        </is>
      </c>
      <c r="E5" s="3" t="inlineStr">
        <is>
          <t>Denied (404) and audited, every endpoint</t>
        </is>
      </c>
      <c r="F5" s="3" t="inlineStr">
        <is>
          <t>M2</t>
        </is>
      </c>
      <c r="G5" s="3" t="inlineStr"/>
    </row>
    <row r="6">
      <c r="A6" s="3" t="inlineStr">
        <is>
          <t>15-TEST-STRATEGY-AND-CONFORMANCE.md</t>
        </is>
      </c>
      <c r="B6" s="3" t="inlineStr">
        <is>
          <t>T05</t>
        </is>
      </c>
      <c r="C6" s="3" t="inlineStr">
        <is>
          <t>Expired delegation used</t>
        </is>
      </c>
      <c r="D6" s="3" t="inlineStr">
        <is>
          <t>Security</t>
        </is>
      </c>
      <c r="E6" s="3" t="inlineStr">
        <is>
          <t>Decision denied; fails closed</t>
        </is>
      </c>
      <c r="F6" s="3" t="inlineStr">
        <is>
          <t>M6</t>
        </is>
      </c>
      <c r="G6" s="3" t="inlineStr"/>
    </row>
    <row r="7">
      <c r="A7" s="3" t="inlineStr">
        <is>
          <t>15-TEST-STRATEGY-AND-CONFORMANCE.md</t>
        </is>
      </c>
      <c r="B7" s="3" t="inlineStr">
        <is>
          <t>T06</t>
        </is>
      </c>
      <c r="C7" s="3" t="inlineStr">
        <is>
          <t>Timer lease expiry</t>
        </is>
      </c>
      <c r="D7" s="3" t="inlineStr">
        <is>
          <t>Recovery</t>
        </is>
      </c>
      <c r="E7" s="3" t="inlineStr">
        <is>
          <t>Single effective firing</t>
        </is>
      </c>
      <c r="F7" s="3" t="inlineStr">
        <is>
          <t>M5</t>
        </is>
      </c>
      <c r="G7" s="3" t="inlineStr"/>
    </row>
    <row r="8">
      <c r="A8" s="3" t="inlineStr">
        <is>
          <t>15-TEST-STRATEGY-AND-CONFORMANCE.md</t>
        </is>
      </c>
      <c r="B8" s="3" t="inlineStr">
        <is>
          <t>T07</t>
        </is>
      </c>
      <c r="C8" s="3" t="inlineStr">
        <is>
          <t>Published SOP edited</t>
        </is>
      </c>
      <c r="D8" s="3" t="inlineStr">
        <is>
          <t>Governance</t>
        </is>
      </c>
      <c r="E8" s="3" t="inlineStr">
        <is>
          <t>Published version immutable; edit creates new draft</t>
        </is>
      </c>
      <c r="F8" s="3" t="inlineStr">
        <is>
          <t>M3</t>
        </is>
      </c>
      <c r="G8" s="3" t="inlineStr"/>
    </row>
    <row r="9">
      <c r="A9" s="3" t="inlineStr">
        <is>
          <t>15-TEST-STRATEGY-AND-CONFORMANCE.md</t>
        </is>
      </c>
      <c r="B9" s="3" t="inlineStr">
        <is>
          <t>T08</t>
        </is>
      </c>
      <c r="C9" s="3" t="inlineStr">
        <is>
          <t>Connector webhook replay</t>
        </is>
      </c>
      <c r="D9" s="3" t="inlineStr">
        <is>
          <t>Security</t>
        </is>
      </c>
      <c r="E9" s="3" t="inlineStr">
        <is>
          <t>No duplicate effect; replay rejected outside window</t>
        </is>
      </c>
      <c r="F9" s="3" t="inlineStr">
        <is>
          <t>M8</t>
        </is>
      </c>
      <c r="G9" s="3" t="inlineStr"/>
    </row>
    <row r="10">
      <c r="A10" s="3" t="inlineStr">
        <is>
          <t>15-TEST-STRATEGY-AND-CONFORMANCE.md</t>
        </is>
      </c>
      <c r="B10" s="3" t="inlineStr">
        <is>
          <t>T09</t>
        </is>
      </c>
      <c r="C10" s="3" t="inlineStr">
        <is>
          <t>Restore database + objects</t>
        </is>
      </c>
      <c r="D10" s="3" t="inlineStr">
        <is>
          <t>Operations</t>
        </is>
      </c>
      <c r="E10" s="3" t="inlineStr">
        <is>
          <t>Recovery within RTO ≤ 2 h, RPO ≤ 15 min</t>
        </is>
      </c>
      <c r="F10" s="3" t="inlineStr">
        <is>
          <t>M10</t>
        </is>
      </c>
      <c r="G10" s="3" t="inlineStr"/>
    </row>
    <row r="11">
      <c r="A11" s="3" t="inlineStr">
        <is>
          <t>15-TEST-STRATEGY-AND-CONFORMANCE.md</t>
        </is>
      </c>
      <c r="B11" s="3" t="inlineStr">
        <is>
          <t>T10</t>
        </is>
      </c>
      <c r="C11" s="3" t="inlineStr">
        <is>
          <t>Keyboard-only publish</t>
        </is>
      </c>
      <c r="D11" s="3" t="inlineStr">
        <is>
          <t>Accessibility</t>
        </is>
      </c>
      <c r="E11" s="3" t="inlineStr">
        <is>
          <t>Design → test run → publish without pointer</t>
        </is>
      </c>
      <c r="F11" s="3" t="inlineStr">
        <is>
          <t>M6</t>
        </is>
      </c>
      <c r="G11" s="3" t="inlineStr"/>
    </row>
    <row r="12">
      <c r="A12" s="3" t="inlineStr">
        <is>
          <t>15-TEST-STRATEGY-AND-CONFORMANCE.md</t>
        </is>
      </c>
      <c r="B12" s="3" t="inlineStr">
        <is>
          <t>T11</t>
        </is>
      </c>
      <c r="C12" s="3" t="inlineStr">
        <is>
          <t>10 k waiting instances, restart all workers (SP-01)</t>
        </is>
      </c>
      <c r="D12" s="3" t="inlineStr">
        <is>
          <t>Durability</t>
        </is>
      </c>
      <c r="E12" s="3" t="inlineStr">
        <is>
          <t>0 lost/duplicated transitions</t>
        </is>
      </c>
      <c r="F12" s="3" t="inlineStr">
        <is>
          <t>M5</t>
        </is>
      </c>
      <c r="G12" s="3" t="inlineStr"/>
    </row>
    <row r="13">
      <c r="A13" s="3" t="inlineStr">
        <is>
          <t>15-TEST-STRATEGY-AND-CONFORMANCE.md</t>
        </is>
      </c>
      <c r="B13" s="3" t="inlineStr">
        <is>
          <t>T12</t>
        </is>
      </c>
      <c r="C13" s="3" t="inlineStr">
        <is>
          <t>Parallel branches arrive at join simultaneously</t>
        </is>
      </c>
      <c r="D13" s="3" t="inlineStr">
        <is>
          <t>Correctness</t>
        </is>
      </c>
      <c r="E13" s="3" t="inlineStr">
        <is>
          <t>Join releases exactly once</t>
        </is>
      </c>
      <c r="F13" s="3" t="inlineStr">
        <is>
          <t>M5</t>
        </is>
      </c>
      <c r="G13" s="3" t="inlineStr"/>
    </row>
    <row r="14">
      <c r="A14" s="3" t="inlineStr">
        <is>
          <t>15-TEST-STRATEGY-AND-CONFORMANCE.md</t>
        </is>
      </c>
      <c r="B14" s="3" t="inlineStr">
        <is>
          <t>T13</t>
        </is>
      </c>
      <c r="C14" s="3" t="inlineStr">
        <is>
          <t>Timer fires vs manual completion race</t>
        </is>
      </c>
      <c r="D14" s="3" t="inlineStr">
        <is>
          <t>Correctness</t>
        </is>
      </c>
      <c r="E14" s="3" t="inlineStr">
        <is>
          <t>Exactly one path wins; loser is no-op</t>
        </is>
      </c>
      <c r="F14" s="3" t="inlineStr">
        <is>
          <t>M5</t>
        </is>
      </c>
      <c r="G14" s="3" t="inlineStr"/>
    </row>
    <row r="15">
      <c r="A15" s="3" t="inlineStr">
        <is>
          <t>15-TEST-STRATEGY-AND-CONFORMANCE.md</t>
        </is>
      </c>
      <c r="B15" s="3" t="inlineStr">
        <is>
          <t>T14</t>
        </is>
      </c>
      <c r="C15" s="3" t="inlineStr">
        <is>
          <t>Role/directory change during in-flight decision</t>
        </is>
      </c>
      <c r="D15" s="3" t="inlineStr">
        <is>
          <t>Security</t>
        </is>
      </c>
      <c r="E15" s="3" t="inlineStr">
        <is>
          <t>SoD re-checked at decision time</t>
        </is>
      </c>
      <c r="F15" s="3" t="inlineStr">
        <is>
          <t>M6</t>
        </is>
      </c>
      <c r="G15" s="3" t="inlineStr"/>
    </row>
    <row r="16">
      <c r="A16" s="3" t="inlineStr">
        <is>
          <t>15-TEST-STRATEGY-AND-CONFORMANCE.md</t>
        </is>
      </c>
      <c r="B16" s="3" t="inlineStr">
        <is>
          <t>T15</t>
        </is>
      </c>
      <c r="C16" s="3" t="inlineStr">
        <is>
          <t>Idempotent request start (same key, same body / changed body)</t>
        </is>
      </c>
      <c r="D16" s="3" t="inlineStr">
        <is>
          <t>Correctness</t>
        </is>
      </c>
      <c r="E16" s="3" t="inlineStr">
        <is>
          <t>Same response / 409</t>
        </is>
      </c>
      <c r="F16" s="3" t="inlineStr">
        <is>
          <t>M5</t>
        </is>
      </c>
      <c r="G16" s="3" t="inlineStr"/>
    </row>
    <row r="17">
      <c r="A17" s="3" t="inlineStr">
        <is>
          <t>15-TEST-STRATEGY-AND-CONFORMANCE.md</t>
        </is>
      </c>
      <c r="B17" s="3" t="inlineStr">
        <is>
          <t>T16</t>
        </is>
      </c>
      <c r="C17" s="3" t="inlineStr">
        <is>
          <t>Cross-workspace signed file URL</t>
        </is>
      </c>
      <c r="D17" s="3" t="inlineStr">
        <is>
          <t>Security</t>
        </is>
      </c>
      <c r="E17" s="3" t="inlineStr">
        <is>
          <t>Rejected outside workspace and after expiry (SEC-10)</t>
        </is>
      </c>
      <c r="F17" s="3" t="inlineStr">
        <is>
          <t>M4</t>
        </is>
      </c>
      <c r="G17" s="3" t="inlineStr"/>
    </row>
    <row r="18">
      <c r="A18" s="3" t="inlineStr">
        <is>
          <t>15-TEST-STRATEGY-AND-CONFORMANCE.md</t>
        </is>
      </c>
      <c r="B18" s="3" t="inlineStr">
        <is>
          <t>T17</t>
        </is>
      </c>
      <c r="C18" s="3" t="inlineStr">
        <is>
          <t>EICAR upload</t>
        </is>
      </c>
      <c r="D18" s="3" t="inlineStr">
        <is>
          <t>Security</t>
        </is>
      </c>
      <c r="E18" s="3" t="inlineStr">
        <is>
          <t>Quarantined; not downloadable without `file:manage_quarantine`</t>
        </is>
      </c>
      <c r="F18" s="3" t="inlineStr">
        <is>
          <t>M4</t>
        </is>
      </c>
      <c r="G18" s="3" t="inlineStr"/>
    </row>
    <row r="19">
      <c r="A19" s="3" t="inlineStr">
        <is>
          <t>15-TEST-STRATEGY-AND-CONFORMANCE.md</t>
        </is>
      </c>
      <c r="B19" s="3" t="inlineStr">
        <is>
          <t>T18</t>
        </is>
      </c>
      <c r="C19" s="3" t="inlineStr">
        <is>
          <t>Audit coverage contract</t>
        </is>
      </c>
      <c r="D19" s="3" t="inlineStr">
        <is>
          <t>Audit</t>
        </is>
      </c>
      <c r="E19" s="3" t="inlineStr">
        <is>
          <t>Every mutating route emits exactly one audit event</t>
        </is>
      </c>
      <c r="F19" s="3" t="inlineStr">
        <is>
          <t>M2</t>
        </is>
      </c>
      <c r="G19" s="3" t="inlineStr"/>
    </row>
    <row r="20">
      <c r="A20" s="3" t="inlineStr">
        <is>
          <t>15-TEST-STRATEGY-AND-CONFORMANCE.md</t>
        </is>
      </c>
      <c r="B20" s="3" t="inlineStr">
        <is>
          <t>T19</t>
        </is>
      </c>
      <c r="C20" s="3" t="inlineStr">
        <is>
          <t>Audit chain tamper (modify, delete, reorder)</t>
        </is>
      </c>
      <c r="D20" s="3" t="inlineStr">
        <is>
          <t>Audit</t>
        </is>
      </c>
      <c r="E20" s="3" t="inlineStr">
        <is>
          <t>Verifier detects each</t>
        </is>
      </c>
      <c r="F20" s="3" t="inlineStr">
        <is>
          <t>M2 (chain) / M9 (verifier CLI)</t>
        </is>
      </c>
      <c r="G20" s="3" t="inlineStr"/>
    </row>
    <row r="21">
      <c r="A21" s="3" t="inlineStr">
        <is>
          <t>15-TEST-STRATEGY-AND-CONFORMANCE.md</t>
        </is>
      </c>
      <c r="B21" s="3" t="inlineStr">
        <is>
          <t>T20</t>
        </is>
      </c>
      <c r="C21" s="3" t="inlineStr">
        <is>
          <t>Custom role escalation attempt</t>
        </is>
      </c>
      <c r="D21" s="3" t="inlineStr">
        <is>
          <t>Security</t>
        </is>
      </c>
      <c r="E21" s="3" t="inlineStr">
        <is>
          <t>Editor cannot grant permissions they lack</t>
        </is>
      </c>
      <c r="F21" s="3" t="inlineStr">
        <is>
          <t>M2</t>
        </is>
      </c>
      <c r="G21" s="3" t="inlineStr"/>
    </row>
    <row r="22">
      <c r="A22" s="3" t="inlineStr">
        <is>
          <t>15-TEST-STRATEGY-AND-CONFORMANCE.md</t>
        </is>
      </c>
      <c r="B22" s="3" t="inlineStr">
        <is>
          <t>T21</t>
        </is>
      </c>
      <c r="C22" s="3" t="inlineStr">
        <is>
          <t>Duplicate service.call execution after crash</t>
        </is>
      </c>
      <c r="D22" s="3" t="inlineStr">
        <is>
          <t>Correctness</t>
        </is>
      </c>
      <c r="E22" s="3" t="inlineStr">
        <is>
          <t>Single downstream effect per idempotency key</t>
        </is>
      </c>
      <c r="F22" s="3" t="inlineStr">
        <is>
          <t>M5</t>
        </is>
      </c>
      <c r="G22" s="3" t="inlineStr"/>
    </row>
    <row r="23">
      <c r="A23" s="3" t="inlineStr">
        <is>
          <t>15-TEST-STRATEGY-AND-CONFORMANCE.md</t>
        </is>
      </c>
      <c r="B23" s="3" t="inlineStr">
        <is>
          <t>T22</t>
        </is>
      </c>
      <c r="C23" s="3" t="inlineStr">
        <is>
          <t>BPMN import round-trip (SP-06)</t>
        </is>
      </c>
      <c r="D23" s="3" t="inlineStr">
        <is>
          <t>Interop</t>
        </is>
      </c>
      <c r="E23" s="3" t="inlineStr">
        <is>
          <t>Supported elements round-trip; unsupported ones reported by id</t>
        </is>
      </c>
      <c r="F23" s="3" t="inlineStr">
        <is>
          <t>M6</t>
        </is>
      </c>
      <c r="G23" s="3" t="inlineStr"/>
    </row>
    <row r="24">
      <c r="A24" s="3" t="inlineStr">
        <is>
          <t>15-TEST-STRATEGY-AND-CONFORMANCE.md</t>
        </is>
      </c>
      <c r="B24" s="3" t="inlineStr">
        <is>
          <t>T23</t>
        </is>
      </c>
      <c r="C24" s="3" t="inlineStr">
        <is>
          <t>Expression golden set (SP-08)</t>
        </is>
      </c>
      <c r="D24" s="3" t="inlineStr">
        <is>
          <t>Correctness</t>
        </is>
      </c>
      <c r="E24" s="3" t="inlineStr">
        <is>
          <t>100 % golden pass; budget enforced; no panics under fuzz</t>
        </is>
      </c>
      <c r="F24" s="3" t="inlineStr">
        <is>
          <t>M1</t>
        </is>
      </c>
      <c r="G24" s="3" t="inlineStr"/>
    </row>
    <row r="25">
      <c r="A25" s="3" t="inlineStr">
        <is>
          <t>15-TEST-STRATEGY-AND-CONFORMANCE.md</t>
        </is>
      </c>
      <c r="B25" s="3" t="inlineStr">
        <is>
          <t>T24</t>
        </is>
      </c>
      <c r="C25" s="3" t="inlineStr">
        <is>
          <t>RLS under pooled mixed-tenant load (SP-09)</t>
        </is>
      </c>
      <c r="D25" s="3" t="inlineStr">
        <is>
          <t>Security</t>
        </is>
      </c>
      <c r="E25" s="3" t="inlineStr">
        <is>
          <t>0 cross-workspace rows in 1 h soak</t>
        </is>
      </c>
      <c r="F25" s="3" t="inlineStr">
        <is>
          <t>M1</t>
        </is>
      </c>
      <c r="G25" s="3" t="inlineStr"/>
    </row>
    <row r="26">
      <c r="A26" s="3" t="inlineStr">
        <is>
          <t>15-TEST-STRATEGY-AND-CONFORMANCE.md</t>
        </is>
      </c>
      <c r="B26" s="3" t="inlineStr">
        <is>
          <t>T25</t>
        </is>
      </c>
      <c r="C26" s="3" t="inlineStr">
        <is>
          <t>Audit explorer 10 M events (SP-10)</t>
        </is>
      </c>
      <c r="D26" s="3" t="inlineStr">
        <is>
          <t>Performance</t>
        </is>
      </c>
      <c r="E26" s="3" t="inlineStr">
        <is>
          <t>P95 &lt; 2 s indexed filters; ≥ 2 000 appends/s</t>
        </is>
      </c>
      <c r="F26" s="3" t="inlineStr">
        <is>
          <t>M4</t>
        </is>
      </c>
      <c r="G26" s="3" t="inlineStr"/>
    </row>
    <row r="27">
      <c r="A27" s="3" t="inlineStr">
        <is>
          <t>15-TEST-STRATEGY-AND-CONFORMANCE.md</t>
        </is>
      </c>
      <c r="B27" s="3" t="inlineStr">
        <is>
          <t>T26</t>
        </is>
      </c>
      <c r="C27" s="3" t="inlineStr">
        <is>
          <t>Data-grid filter/sort parity</t>
        </is>
      </c>
      <c r="D27" s="3" t="inlineStr">
        <is>
          <t>Correctness</t>
        </is>
      </c>
      <c r="E27" s="3" t="inlineStr">
        <is>
          <t>API = reference; export = grid incl. redaction</t>
        </is>
      </c>
      <c r="F27" s="3" t="inlineStr">
        <is>
          <t>M4</t>
        </is>
      </c>
      <c r="G27" s="3" t="inlineStr"/>
    </row>
    <row r="28">
      <c r="A28" s="3" t="inlineStr">
        <is>
          <t>15-TEST-STRATEGY-AND-CONFORMANCE.md</t>
        </is>
      </c>
      <c r="B28" s="3" t="inlineStr">
        <is>
          <t>T27</t>
        </is>
      </c>
      <c r="C28" s="3" t="inlineStr">
        <is>
          <t>Admin bulk reassign 500 items</t>
        </is>
      </c>
      <c r="D28" s="3" t="inlineStr">
        <is>
          <t>Admin</t>
        </is>
      </c>
      <c r="E28" s="3" t="inlineStr">
        <is>
          <t>Per-item result + audit; impact preview count exact</t>
        </is>
      </c>
      <c r="F28" s="3" t="inlineStr">
        <is>
          <t>M4</t>
        </is>
      </c>
      <c r="G28" s="3" t="inlineStr"/>
    </row>
    <row r="29">
      <c r="A29" s="3" t="inlineStr">
        <is>
          <t>15-TEST-STRATEGY-AND-CONFORMANCE.md</t>
        </is>
      </c>
      <c r="B29" s="3" t="inlineStr">
        <is>
          <t>T28</t>
        </is>
      </c>
      <c r="C29" s="3" t="inlineStr">
        <is>
          <t>Workspace suspend → restore</t>
        </is>
      </c>
      <c r="D29" s="3" t="inlineStr">
        <is>
          <t>Admin</t>
        </is>
      </c>
      <c r="E29" s="3" t="inlineStr">
        <is>
          <t>Writes 423 while suspended; no data loss</t>
        </is>
      </c>
      <c r="F29" s="3" t="inlineStr">
        <is>
          <t>M2</t>
        </is>
      </c>
      <c r="G29" s="3" t="inlineStr"/>
    </row>
    <row r="30">
      <c r="A30" s="3" t="inlineStr">
        <is>
          <t>15-TEST-STRATEGY-AND-CONFORMANCE.md</t>
        </is>
      </c>
      <c r="B30" s="3" t="inlineStr">
        <is>
          <t>T29</t>
        </is>
      </c>
      <c r="C30" s="3" t="inlineStr">
        <is>
          <t>Workspace delete (after grace)</t>
        </is>
      </c>
      <c r="D30" s="3" t="inlineStr">
        <is>
          <t>Privacy</t>
        </is>
      </c>
      <c r="E30" s="3" t="inlineStr">
        <is>
          <t>Data purged, keys shredded, system record pseudonymised</t>
        </is>
      </c>
      <c r="F30" s="3" t="inlineStr">
        <is>
          <t>M10</t>
        </is>
      </c>
      <c r="G30" s="3" t="inlineStr"/>
    </row>
    <row r="31">
      <c r="A31" s="3" t="inlineStr">
        <is>
          <t>15-TEST-STRATEGY-AND-CONFORMANCE.md</t>
        </is>
      </c>
      <c r="B31" s="3" t="inlineStr">
        <is>
          <t>T30</t>
        </is>
      </c>
      <c r="C31" s="3" t="inlineStr">
        <is>
          <t>File linked to published version: delete attempt</t>
        </is>
      </c>
      <c r="D31" s="3" t="inlineStr">
        <is>
          <t>Governance</t>
        </is>
      </c>
      <c r="E31" s="3" t="inlineStr">
        <is>
          <t>Refused with reason; retention/hold respected</t>
        </is>
      </c>
      <c r="F31" s="3" t="inlineStr">
        <is>
          <t>M4</t>
        </is>
      </c>
      <c r="G31" s="3" t="inlineStr"/>
    </row>
    <row r="32">
      <c r="A32" s="3" t="inlineStr">
        <is>
          <t>15-TEST-STRATEGY-AND-CONFORMANCE.md</t>
        </is>
      </c>
      <c r="B32" s="3" t="inlineStr">
        <is>
          <t>T31</t>
        </is>
      </c>
      <c r="C32" s="3" t="inlineStr">
        <is>
          <t>DB failover during decision burst</t>
        </is>
      </c>
      <c r="D32" s="3" t="inlineStr">
        <is>
          <t>Recovery</t>
        </is>
      </c>
      <c r="E32" s="3" t="inlineStr">
        <is>
          <t>No lost accepted decisions; clients retry idempotently</t>
        </is>
      </c>
      <c r="F32" s="3" t="inlineStr">
        <is>
          <t>M10</t>
        </is>
      </c>
      <c r="G32" s="3" t="inlineStr"/>
    </row>
    <row r="33">
      <c r="A33" s="3" t="inlineStr">
        <is>
          <t>15-TEST-STRATEGY-AND-CONFORMANCE.md</t>
        </is>
      </c>
      <c r="B33" s="3" t="inlineStr">
        <is>
          <t>T32</t>
        </is>
      </c>
      <c r="C33" s="3" t="inlineStr">
        <is>
          <t>Break-glass session</t>
        </is>
      </c>
      <c r="D33" s="3" t="inlineStr">
        <is>
          <t>Security</t>
        </is>
      </c>
      <c r="E33" s="3" t="inlineStr">
        <is>
          <t>Time-boxed, read-only, visible in workspace audit + banner</t>
        </is>
      </c>
      <c r="F33" s="3" t="inlineStr">
        <is>
          <t>M8</t>
        </is>
      </c>
      <c r="G33" s="3" t="inlineStr"/>
    </row>
    <row r="34">
      <c r="A34" s="3" t="inlineStr">
        <is>
          <t>15-TEST-STRATEGY-AND-CONFORMANCE.md</t>
        </is>
      </c>
      <c r="B34" s="3" t="inlineStr">
        <is>
          <t>T33</t>
        </is>
      </c>
      <c r="C34" s="3" t="inlineStr">
        <is>
          <t>Separation mode on</t>
        </is>
      </c>
      <c r="D34" s="3" t="inlineStr">
        <is>
          <t>Security</t>
        </is>
      </c>
      <c r="E34" s="3" t="inlineStr">
        <is>
          <t>Admin loses content access; self-grant needs second admin</t>
        </is>
      </c>
      <c r="F34" s="3" t="inlineStr">
        <is>
          <t>M8</t>
        </is>
      </c>
      <c r="G34" s="3" t="inlineStr"/>
    </row>
    <row r="35">
      <c r="A35" s="3" t="inlineStr">
        <is>
          <t>15-TEST-STRATEGY-AND-CONFORMANCE.md</t>
        </is>
      </c>
      <c r="B35" s="3" t="inlineStr">
        <is>
          <t>T34</t>
        </is>
      </c>
      <c r="C35" s="3" t="inlineStr">
        <is>
          <t>Part 11 signature without re-auth</t>
        </is>
      </c>
      <c r="D35" s="3" t="inlineStr">
        <is>
          <t>Compliance</t>
        </is>
      </c>
      <c r="E35" s="3" t="inlineStr">
        <is>
          <t>Rejected; with re-auth: manifestation + record hash stored</t>
        </is>
      </c>
      <c r="F35" s="3" t="inlineStr">
        <is>
          <t>M9</t>
        </is>
      </c>
      <c r="G35" s="3" t="inlineStr"/>
    </row>
    <row r="36">
      <c r="A36" s="3" t="inlineStr">
        <is>
          <t>15-TEST-STRATEGY-AND-CONFORMANCE.md</t>
        </is>
      </c>
      <c r="B36" s="3" t="inlineStr">
        <is>
          <t>T35</t>
        </is>
      </c>
      <c r="C36" s="3" t="inlineStr">
        <is>
          <t>Investigation evidence export</t>
        </is>
      </c>
      <c r="D36" s="3" t="inlineStr">
        <is>
          <t>Audit</t>
        </is>
      </c>
      <c r="E36" s="3" t="inlineStr">
        <is>
          <t>Signed bundle verifies offline with `procera-verify`</t>
        </is>
      </c>
      <c r="F36" s="3" t="inlineStr">
        <is>
          <t>M9</t>
        </is>
      </c>
      <c r="G36" s="3" t="inlineStr"/>
    </row>
    <row r="37">
      <c r="A37" s="3" t="inlineStr">
        <is>
          <t>15-TEST-STRATEGY-AND-CONFORMANCE.md</t>
        </is>
      </c>
      <c r="B37" s="3" t="inlineStr">
        <is>
          <t>T36</t>
        </is>
      </c>
      <c r="C37" s="3" t="inlineStr">
        <is>
          <t>Template gallery fixtures</t>
        </is>
      </c>
      <c r="D37" s="3" t="inlineStr">
        <is>
          <t>Templates</t>
        </is>
      </c>
      <c r="E37" s="3" t="inlineStr">
        <is>
          <t>Every Wave-1 template installs + test-runs green</t>
        </is>
      </c>
      <c r="F37" s="3" t="inlineStr">
        <is>
          <t>M6</t>
        </is>
      </c>
      <c r="G37" s="3" t="inlineStr"/>
    </row>
    <row r="38">
      <c r="A38" s="3" t="inlineStr">
        <is>
          <t>15-TEST-STRATEGY-AND-CONFORMANCE.md</t>
        </is>
      </c>
      <c r="B38" s="3" t="inlineStr">
        <is>
          <t>T37</t>
        </is>
      </c>
      <c r="C38" s="3" t="inlineStr">
        <is>
          <t>N-1 → N upgrade with live instances</t>
        </is>
      </c>
      <c r="D38" s="3" t="inlineStr">
        <is>
          <t>Operations</t>
        </is>
      </c>
      <c r="E38" s="3" t="inlineStr">
        <is>
          <t>All waiting instances complete; chain verifies</t>
        </is>
      </c>
      <c r="F38" s="3" t="inlineStr">
        <is>
          <t>M10</t>
        </is>
      </c>
      <c r="G38" s="3" t="inlineStr"/>
    </row>
    <row r="39">
      <c r="A39" s="3" t="inlineStr">
        <is>
          <t>15-TEST-STRATEGY-AND-CONFORMANCE.md</t>
        </is>
      </c>
      <c r="B39" s="3" t="inlineStr">
        <is>
          <t>T38</t>
        </is>
      </c>
      <c r="C39" s="3" t="inlineStr">
        <is>
          <t>Pseudo-locale + RTL screens</t>
        </is>
      </c>
      <c r="D39" s="3" t="inlineStr">
        <is>
          <t>i18n</t>
        </is>
      </c>
      <c r="E39" s="3" t="inlineStr">
        <is>
          <t>No truncation/hard-coded strings on key screens</t>
        </is>
      </c>
      <c r="F39" s="3" t="inlineStr">
        <is>
          <t>M6</t>
        </is>
      </c>
      <c r="G39" s="3" t="inlineStr"/>
    </row>
    <row r="40">
      <c r="A40" s="3" t="inlineStr">
        <is>
          <t>15-TEST-STRATEGY-AND-CONFORMANCE.md</t>
        </is>
      </c>
      <c r="B40" s="3" t="inlineStr">
        <is>
          <t>T39</t>
        </is>
      </c>
      <c r="C40" s="3" t="inlineStr">
        <is>
          <t>SSRF via DNS rebinding / metadata IP</t>
        </is>
      </c>
      <c r="D40" s="3" t="inlineStr">
        <is>
          <t>Security</t>
        </is>
      </c>
      <c r="E40" s="3" t="inlineStr">
        <is>
          <t>Blocked at egress proxy (SEC-06)</t>
        </is>
      </c>
      <c r="F40" s="3" t="inlineStr">
        <is>
          <t>M8</t>
        </is>
      </c>
      <c r="G40" s="3" t="inlineStr"/>
    </row>
    <row r="41">
      <c r="A41" s="3" t="inlineStr">
        <is>
          <t>15-TEST-STRATEGY-AND-CONFORMANCE.md</t>
        </is>
      </c>
      <c r="B41" s="3" t="inlineStr">
        <is>
          <t>T40</t>
        </is>
      </c>
      <c r="C41" s="3" t="inlineStr">
        <is>
          <t>Reference load (100 ws, 10 k waiting, 100 tps burst)</t>
        </is>
      </c>
      <c r="D41" s="3" t="inlineStr">
        <is>
          <t>Performance</t>
        </is>
      </c>
      <c r="E41" s="3" t="inlineStr">
        <is>
          <t>P95 read &lt; 300 ms, transition &lt; 500 ms</t>
        </is>
      </c>
      <c r="F41" s="3" t="inlineStr">
        <is>
          <t>M10</t>
        </is>
      </c>
      <c r="G41" s="3" t="inlineStr"/>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20" customWidth="1" min="1" max="1"/>
    <col width="7" customWidth="1" min="2" max="2"/>
    <col width="50" customWidth="1" min="3" max="3"/>
    <col width="60" customWidth="1" min="4" max="4"/>
    <col width="18" customWidth="1" min="5" max="5"/>
    <col width="10" customWidth="1" min="6" max="6"/>
    <col width="30" customWidth="1" min="7" max="7"/>
  </cols>
  <sheetData>
    <row r="1">
      <c r="A1" s="2" t="inlineStr">
        <is>
          <t>Source</t>
        </is>
      </c>
      <c r="B1" s="2" t="inlineStr">
        <is>
          <t>ID</t>
        </is>
      </c>
      <c r="C1" s="2" t="inlineStr">
        <is>
          <t>Question</t>
        </is>
      </c>
      <c r="D1" s="2" t="inlineStr">
        <is>
          <t>Recommendation</t>
        </is>
      </c>
      <c r="E1" s="2" t="inlineStr">
        <is>
          <t>Owner</t>
        </is>
      </c>
      <c r="F1" s="2" t="inlineStr">
        <is>
          <t>Decide by</t>
        </is>
      </c>
      <c r="G1" s="2" t="inlineStr">
        <is>
          <t>Decision</t>
        </is>
      </c>
    </row>
    <row r="2">
      <c r="A2" s="3" t="inlineStr">
        <is>
          <t>22-UNKNOWNS-ASSUMPTIONS-AND-OPEN-QUESTIONS.md</t>
        </is>
      </c>
      <c r="B2" s="3" t="inlineStr">
        <is>
          <t>OQ-01</t>
        </is>
      </c>
      <c r="C2" s="3" t="inlineStr">
        <is>
          <t>~~Product name~~ **Decided 2026-10-11: Procera.** Remaining: trademark/domain search (`procera.dev` is a placeholder in error-type URIs), public repository name (local dir is `bpms`)</t>
        </is>
      </c>
      <c r="D2" s="3" t="inlineStr">
        <is>
          <t>Run a trademark search in target markets (IN, EU, US) before the public launch; register the domain</t>
        </is>
      </c>
      <c r="E2" s="3" t="inlineStr">
        <is>
          <t>Product owner</t>
        </is>
      </c>
      <c r="F2" s="3" t="inlineStr">
        <is>
          <t>R1</t>
        </is>
      </c>
      <c r="G2" s="3" t="inlineStr"/>
    </row>
    <row r="3">
      <c r="A3" s="3" t="inlineStr">
        <is>
          <t>22-UNKNOWNS-ASSUMPTIONS-AND-OPEN-QUESTIONS.md</t>
        </is>
      </c>
      <c r="B3" s="3" t="inlineStr">
        <is>
          <t>OQ-02</t>
        </is>
      </c>
      <c r="C3" s="3" t="inlineStr">
        <is>
          <t>Hosted SaaS at GA, or self-host only first?</t>
        </is>
      </c>
      <c r="D3" s="3" t="inlineStr">
        <is>
          <t>Self-host at GA, hosted pilot at M10, so the architecture is ready (residency, quotas)</t>
        </is>
      </c>
      <c r="E3" s="3" t="inlineStr">
        <is>
          <t>Product owner</t>
        </is>
      </c>
      <c r="F3" s="3" t="inlineStr">
        <is>
          <t>M7</t>
        </is>
      </c>
      <c r="G3" s="3" t="inlineStr"/>
    </row>
    <row r="4">
      <c r="A4" s="3" t="inlineStr">
        <is>
          <t>22-UNKNOWNS-ASSUMPTIONS-AND-OPEN-QUESTIONS.md</t>
        </is>
      </c>
      <c r="B4" s="3" t="inlineStr">
        <is>
          <t>OQ-03</t>
        </is>
      </c>
      <c r="C4" s="3" t="inlineStr">
        <is>
          <t>First regulated industry to target (pharma / BFSI / public sector)?</t>
        </is>
      </c>
      <c r="D4" s="3" t="inlineStr">
        <is>
          <t>BFSI/IT-services in India + EU SMEs first; pharma (Part 11) as a design constraint, sold after M9</t>
        </is>
      </c>
      <c r="E4" s="3" t="inlineStr">
        <is>
          <t>Product owner</t>
        </is>
      </c>
      <c r="F4" s="3" t="inlineStr">
        <is>
          <t>M7</t>
        </is>
      </c>
      <c r="G4" s="3" t="inlineStr"/>
    </row>
    <row r="5">
      <c r="A5" s="3" t="inlineStr">
        <is>
          <t>22-UNKNOWNS-ASSUMPTIONS-AND-OPEN-QUESTIONS.md</t>
        </is>
      </c>
      <c r="B5" s="3" t="inlineStr">
        <is>
          <t>OQ-04</t>
        </is>
      </c>
      <c r="C5" s="3" t="inlineStr">
        <is>
          <t>Can a single user belong to workspaces of *different* customers on a hosted deployment (like Slack Connect)?</t>
        </is>
      </c>
      <c r="D5" s="3" t="inlineStr">
        <is>
          <t>Yes (global accounts), but no cross-workspace data, ever</t>
        </is>
      </c>
      <c r="E5" s="3" t="inlineStr">
        <is>
          <t>Product owner</t>
        </is>
      </c>
      <c r="F5" s="3" t="inlineStr">
        <is>
          <t>M2</t>
        </is>
      </c>
      <c r="G5" s="3" t="inlineStr"/>
    </row>
    <row r="6">
      <c r="A6" s="3" t="inlineStr">
        <is>
          <t>22-UNKNOWNS-ASSUMPTIONS-AND-OPEN-QUESTIONS.md</t>
        </is>
      </c>
      <c r="B6" s="3" t="inlineStr">
        <is>
          <t>OQ-05</t>
        </is>
      </c>
      <c r="C6" s="3" t="inlineStr">
        <is>
          <t>Expected scale of the first customers (members, active instances)?</t>
        </is>
      </c>
      <c r="D6" s="3" t="inlineStr">
        <is>
          <t>Plan for the reference load (03 §12); validate in interviews</t>
        </is>
      </c>
      <c r="E6" s="3" t="inlineStr">
        <is>
          <t>Product</t>
        </is>
      </c>
      <c r="F6" s="3" t="inlineStr">
        <is>
          <t>M0</t>
        </is>
      </c>
      <c r="G6" s="3" t="inlineStr"/>
    </row>
    <row r="7">
      <c r="A7" s="3" t="inlineStr">
        <is>
          <t>22-UNKNOWNS-ASSUMPTIONS-AND-OPEN-QUESTIONS.md</t>
        </is>
      </c>
      <c r="B7" s="3" t="inlineStr">
        <is>
          <t>OQ-06</t>
        </is>
      </c>
      <c r="C7" s="3" t="inlineStr">
        <is>
          <t>Business model: hosted service, support subscriptions, enterprise add-ons? Is any feature non-OSS?</t>
        </is>
      </c>
      <c r="D7" s="3" t="inlineStr">
        <is>
          <t>Fully Apache-2.0 core; revenue from hosted, support, and validation packs/LTS</t>
        </is>
      </c>
      <c r="E7" s="3" t="inlineStr">
        <is>
          <t>Product owner</t>
        </is>
      </c>
      <c r="F7" s="3" t="inlineStr">
        <is>
          <t>M7</t>
        </is>
      </c>
      <c r="G7" s="3" t="inlineStr"/>
    </row>
    <row r="8">
      <c r="A8" s="3" t="inlineStr">
        <is>
          <t>22-UNKNOWNS-ASSUMPTIONS-AND-OPEN-QUESTIONS.md</t>
        </is>
      </c>
      <c r="B8" s="3" t="inlineStr">
        <is>
          <t>OQ-07</t>
        </is>
      </c>
      <c r="C8" s="3" t="inlineStr">
        <is>
          <t>Which chat/collaboration platform integration ships first after GA (Slack, Teams, Google Chat, Mattermost…), or is it purely customer-driven?</t>
        </is>
      </c>
      <c r="D8" s="3" t="inlineStr">
        <is>
          <t>Customer-driven demand gate; contract designed now (13 §4)</t>
        </is>
      </c>
      <c r="E8" s="3" t="inlineStr">
        <is>
          <t>Product owner</t>
        </is>
      </c>
      <c r="F8" s="3" t="inlineStr">
        <is>
          <t>M8</t>
        </is>
      </c>
      <c r="G8" s="3" t="inlineStr"/>
    </row>
    <row r="9">
      <c r="A9" s="3" t="inlineStr">
        <is>
          <t>22-UNKNOWNS-ASSUMPTIONS-AND-OPEN-QUESTIONS.md</t>
        </is>
      </c>
      <c r="B9" s="3" t="inlineStr">
        <is>
          <t>OQ-08</t>
        </is>
      </c>
      <c r="C9" s="3" t="inlineStr">
        <is>
          <t>Offline/mobile native apps ever?</t>
        </is>
      </c>
      <c r="D9" s="3" t="inlineStr">
        <is>
          <t>PWA only through GA; revisit with usage data</t>
        </is>
      </c>
      <c r="E9" s="3" t="inlineStr">
        <is>
          <t>Product</t>
        </is>
      </c>
      <c r="F9" s="3" t="inlineStr">
        <is>
          <t>M10</t>
        </is>
      </c>
      <c r="G9" s="3" t="inlineStr"/>
    </row>
    <row r="10">
      <c r="A10" s="3" t="inlineStr">
        <is>
          <t>22-UNKNOWNS-ASSUMPTIONS-AND-OPEN-QUESTIONS.md</t>
        </is>
      </c>
      <c r="B10" s="3" t="inlineStr">
        <is>
          <t>OQ-09</t>
        </is>
      </c>
      <c r="C10" s="3" t="inlineStr">
        <is>
          <t>GA UI languages beyond English?</t>
        </is>
      </c>
      <c r="D10" s="3" t="inlineStr">
        <is>
          <t>English + Hindi + one EU language (German or French), chosen from the pilot pipeline</t>
        </is>
      </c>
      <c r="E10" s="3" t="inlineStr">
        <is>
          <t>Product</t>
        </is>
      </c>
      <c r="F10" s="3" t="inlineStr">
        <is>
          <t>M8</t>
        </is>
      </c>
      <c r="G10" s="3" t="inlineStr"/>
    </row>
    <row r="11">
      <c r="A11" s="3" t="inlineStr">
        <is>
          <t>22-UNKNOWNS-ASSUMPTIONS-AND-OPEN-QUESTIONS.md</t>
        </is>
      </c>
      <c r="B11" s="3" t="inlineStr">
        <is>
          <t>OQ-10</t>
        </is>
      </c>
      <c r="C11" s="3" t="inlineStr">
        <is>
          <t>Should e-sign target legal-grade use in India (Aadhaar eSign via ESP) at GA?</t>
        </is>
      </c>
      <c r="D11" s="3" t="inlineStr">
        <is>
          <t>No. Ship SES/AES-style with a strong evidence certificate; Aadhaar/QES providers in M12</t>
        </is>
      </c>
      <c r="E11" s="3" t="inlineStr">
        <is>
          <t>Product + Legal</t>
        </is>
      </c>
      <c r="F11" s="3" t="inlineStr">
        <is>
          <t>M8</t>
        </is>
      </c>
      <c r="G11" s="3" t="inlineStr"/>
    </row>
    <row r="12">
      <c r="A12" s="3" t="inlineStr">
        <is>
          <t>22-UNKNOWNS-ASSUMPTIONS-AND-OPEN-QUESTIONS.md</t>
        </is>
      </c>
      <c r="B12" s="3" t="inlineStr">
        <is>
          <t>OQ-11</t>
        </is>
      </c>
      <c r="C12" s="3" t="inlineStr">
        <is>
          <t>Pricing anchor for hosted (per author vs per member)?</t>
        </is>
      </c>
      <c r="D12" s="3" t="inlineStr">
        <is>
          <t>Free unlimited readers/attesters/requesters; charge per "maker" seat + workspace tier</t>
        </is>
      </c>
      <c r="E12" s="3" t="inlineStr">
        <is>
          <t>Product owner</t>
        </is>
      </c>
      <c r="F12" s="3" t="inlineStr">
        <is>
          <t>M10</t>
        </is>
      </c>
      <c r="G12" s="3" t="inlineStr"/>
    </row>
    <row r="13">
      <c r="A13" s="3" t="inlineStr">
        <is>
          <t>22-UNKNOWNS-ASSUMPTIONS-AND-OPEN-QUESTIONS.md</t>
        </is>
      </c>
      <c r="B13" s="3" t="inlineStr">
        <is>
          <t>OQ-12</t>
        </is>
      </c>
      <c r="C13" s="3" t="inlineStr">
        <is>
          <t>Admin full visibility vs confidential HR/whistleblower cases.** Must admins always see everything?</t>
        </is>
      </c>
      <c r="D13" s="3" t="inlineStr">
        <is>
          <t>Default: admins see everything, with access-logging. Cases flagged *restricted* need an audited admin self-grant that the case team sees. Separation mode removes admin content access entirely.</t>
        </is>
      </c>
      <c r="E13" s="3" t="inlineStr">
        <is>
          <t>Product owner (you)</t>
        </is>
      </c>
      <c r="F13" s="3" t="inlineStr">
        <is>
          <t>M3</t>
        </is>
      </c>
      <c r="G13" s="3" t="inlineStr"/>
    </row>
    <row r="14">
      <c r="A14" s="3" t="inlineStr">
        <is>
          <t>22-UNKNOWNS-ASSUMPTIONS-AND-OPEN-QUESTIONS.md</t>
        </is>
      </c>
      <c r="B14" s="3" t="inlineStr">
        <is>
          <t>OQ-13</t>
        </is>
      </c>
      <c r="C14" s="3" t="inlineStr">
        <is>
          <t>Is a public/anonymous intake (whistleblowing, public forms) in GA scope?</t>
        </is>
      </c>
      <c r="D14" s="3" t="inlineStr">
        <is>
          <t>Public forms P1 (M8); anonymous two-way whistleblowing P2</t>
        </is>
      </c>
      <c r="E14" s="3" t="inlineStr">
        <is>
          <t>Product</t>
        </is>
      </c>
      <c r="F14" s="3" t="inlineStr">
        <is>
          <t>M8</t>
        </is>
      </c>
      <c r="G14" s="3" t="inlineStr"/>
    </row>
    <row r="15">
      <c r="A15" s="3" t="inlineStr">
        <is>
          <t>22-UNKNOWNS-ASSUMPTIONS-AND-OPEN-QUESTIONS.md</t>
        </is>
      </c>
      <c r="B15" s="3" t="inlineStr">
        <is>
          <t>OQ-14</t>
        </is>
      </c>
      <c r="C15" s="3" t="inlineStr">
        <is>
          <t>Who curates the global template gallery long-term (in-house SMEs, community, partners)?</t>
        </is>
      </c>
      <c r="D15" s="3" t="inlineStr">
        <is>
          <t>In-house for Waves 1–2; community contributions with review from Wave 3</t>
        </is>
      </c>
      <c r="E15" s="3" t="inlineStr">
        <is>
          <t>Product</t>
        </is>
      </c>
      <c r="F15" s="3" t="inlineStr">
        <is>
          <t>M6</t>
        </is>
      </c>
      <c r="G15" s="3" t="inlineStr"/>
    </row>
    <row r="16">
      <c r="A16" s="3" t="inlineStr">
        <is>
          <t>22-UNKNOWNS-ASSUMPTIONS-AND-OPEN-QUESTIONS.md</t>
        </is>
      </c>
      <c r="B16" s="3" t="inlineStr">
        <is>
          <t>OQ-15</t>
        </is>
      </c>
      <c r="C16" s="3" t="inlineStr">
        <is>
          <t>~~Forgotten passwords~~ **Decided 2026-10-12 (owner): option A.** Self-service "Forgot password?" by email link, change password while signed in, and admin controls (send reset link, require a password change at next sign-in, sign out everywhere, reset two-step verification). Designed in docs/06 §3.6.1; two-step verification is kept on reset (A-39).</t>
        </is>
      </c>
      <c r="D16" s="3" t="inlineStr">
        <is>
          <t>—</t>
        </is>
      </c>
      <c r="E16" s="3" t="inlineStr">
        <is>
          <t>Product owner</t>
        </is>
      </c>
      <c r="F16" s="3" t="inlineStr">
        <is>
          <t>Closed</t>
        </is>
      </c>
      <c r="G16" s="3" t="inlineStr"/>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20" customWidth="1" min="1" max="1"/>
    <col width="6" customWidth="1" min="2" max="2"/>
    <col width="50" customWidth="1" min="3" max="3"/>
    <col width="40" customWidth="1" min="4" max="4"/>
    <col width="50" customWidth="1" min="5" max="5"/>
    <col width="10" customWidth="1" min="6" max="6"/>
  </cols>
  <sheetData>
    <row r="1">
      <c r="A1" s="2" t="inlineStr">
        <is>
          <t>Source</t>
        </is>
      </c>
      <c r="B1" s="2" t="inlineStr">
        <is>
          <t>ID</t>
        </is>
      </c>
      <c r="C1" s="2" t="inlineStr">
        <is>
          <t>Unknown</t>
        </is>
      </c>
      <c r="D1" s="2" t="inlineStr">
        <is>
          <t>Why it matters</t>
        </is>
      </c>
      <c r="E1" s="2" t="inlineStr">
        <is>
          <t>Resolution</t>
        </is>
      </c>
      <c r="F1" s="2" t="inlineStr">
        <is>
          <t>Decide by</t>
        </is>
      </c>
    </row>
    <row r="2">
      <c r="A2" s="3" t="inlineStr">
        <is>
          <t>22-UNKNOWNS-ASSUMPTIONS-AND-OPEN-QUESTIONS.md</t>
        </is>
      </c>
      <c r="B2" s="3" t="inlineStr">
        <is>
          <t>U-01</t>
        </is>
      </c>
      <c r="C2" s="3" t="inlineStr">
        <is>
          <t>Native interpreter vs Temporal vs Operaton adapter</t>
        </is>
      </c>
      <c r="D2" s="3" t="inlineStr">
        <is>
          <t>Core runtime architecture</t>
        </is>
      </c>
      <c r="E2" s="3" t="inlineStr">
        <is>
          <t>SP-01…SP-06 + ops-cost comparison → ADR-0015</t>
        </is>
      </c>
      <c r="F2" s="3" t="inlineStr">
        <is>
          <t>G1 (M1)</t>
        </is>
      </c>
    </row>
    <row r="3">
      <c r="A3" s="3" t="inlineStr">
        <is>
          <t>22-UNKNOWNS-ASSUMPTIONS-AND-OPEN-QUESTIONS.md</t>
        </is>
      </c>
      <c r="B3" s="3" t="inlineStr">
        <is>
          <t>U-02</t>
        </is>
      </c>
      <c r="C3" s="3" t="inlineStr">
        <is>
          <t>FEEL subset (dsntk) vs CEL: typing, WASM build for browser, TCK coverage</t>
        </is>
      </c>
      <c r="D3" s="3" t="inlineStr">
        <is>
          <t>Expression language is stored in every definition</t>
        </is>
      </c>
      <c r="E3" s="3" t="inlineStr">
        <is>
          <t>SP-08 → ADR-0010</t>
        </is>
      </c>
      <c r="F3" s="3" t="inlineStr">
        <is>
          <t>G1</t>
        </is>
      </c>
    </row>
    <row r="4">
      <c r="A4" s="3" t="inlineStr">
        <is>
          <t>22-UNKNOWNS-ASSUMPTIONS-AND-OPEN-QUESTIONS.md</t>
        </is>
      </c>
      <c r="B4" s="3" t="inlineStr">
        <is>
          <t>U-03</t>
        </is>
      </c>
      <c r="C4" s="3" t="inlineStr">
        <is>
          <t>Cedar partial evaluation maturity for list filters</t>
        </is>
      </c>
      <c r="D4" s="3" t="inlineStr">
        <is>
          <t>List performance and correctness of scoped admins</t>
        </is>
      </c>
      <c r="E4" s="3" t="inlineStr">
        <is>
          <t>SP-09; fall back to hand-compiled scope predicates</t>
        </is>
      </c>
      <c r="F4" s="3" t="inlineStr">
        <is>
          <t>G1</t>
        </is>
      </c>
    </row>
    <row r="5">
      <c r="A5" s="3" t="inlineStr">
        <is>
          <t>22-UNKNOWNS-ASSUMPTIONS-AND-OPEN-QUESTIONS.md</t>
        </is>
      </c>
      <c r="B5" s="3" t="inlineStr">
        <is>
          <t>U-04</t>
        </is>
      </c>
      <c r="C5" s="3" t="inlineStr">
        <is>
          <t>Audit chain append contention at high data-access volume</t>
        </is>
      </c>
      <c r="D5" s="3" t="inlineStr">
        <is>
          <t>Hot read paths must not serialise</t>
        </is>
      </c>
      <c r="E5" s="3" t="inlineStr">
        <is>
          <t>SP-10 (batched sealer)</t>
        </is>
      </c>
      <c r="F5" s="3" t="inlineStr">
        <is>
          <t>G1</t>
        </is>
      </c>
    </row>
    <row r="6">
      <c r="A6" s="3" t="inlineStr">
        <is>
          <t>22-UNKNOWNS-ASSUMPTIONS-AND-OPEN-QUESTIONS.md</t>
        </is>
      </c>
      <c r="B6" s="3" t="inlineStr">
        <is>
          <t>U-05</t>
        </is>
      </c>
      <c r="C6" s="3" t="inlineStr">
        <is>
          <t>Postgres-only bus throughput ceiling</t>
        </is>
      </c>
      <c r="D6" s="3" t="inlineStr">
        <is>
          <t>When NATS/Kafka becomes necessary</t>
        </is>
      </c>
      <c r="E6" s="3" t="inlineStr">
        <is>
          <t>SP-01 metrics; document a threshold</t>
        </is>
      </c>
      <c r="F6" s="3" t="inlineStr">
        <is>
          <t>M5</t>
        </is>
      </c>
    </row>
    <row r="7">
      <c r="A7" s="3" t="inlineStr">
        <is>
          <t>22-UNKNOWNS-ASSUMPTIONS-AND-OPEN-QUESTIONS.md</t>
        </is>
      </c>
      <c r="B7" s="3" t="inlineStr">
        <is>
          <t>U-06</t>
        </is>
      </c>
      <c r="C7" s="3" t="inlineStr">
        <is>
          <t>Temporal Rust SDK worker-versioning support</t>
        </is>
      </c>
      <c r="D7" s="3" t="inlineStr">
        <is>
          <t>Only matters if Temporal wins U-01</t>
        </is>
      </c>
      <c r="E7" s="3" t="inlineStr">
        <is>
          <t>Vendor docs / spike</t>
        </is>
      </c>
      <c r="F7" s="3" t="inlineStr">
        <is>
          <t>G1</t>
        </is>
      </c>
    </row>
    <row r="8">
      <c r="A8" s="3" t="inlineStr">
        <is>
          <t>22-UNKNOWNS-ASSUMPTIONS-AND-OPEN-QUESTIONS.md</t>
        </is>
      </c>
      <c r="B8" s="3" t="inlineStr">
        <is>
          <t>U-07</t>
        </is>
      </c>
      <c r="C8" s="3" t="inlineStr">
        <is>
          <t>PDF stamping / PAdES library choice in Rust (licence-clean)</t>
        </is>
      </c>
      <c r="D8" s="3" t="inlineStr">
        <is>
          <t>E-sign finalisation</t>
        </is>
      </c>
      <c r="E8" s="3" t="inlineStr">
        <is>
          <t>Research spike in M5 (lopdf/pdf-writer + signing crate vs sandboxed external tool)</t>
        </is>
      </c>
      <c r="F8" s="3" t="inlineStr">
        <is>
          <t>M5</t>
        </is>
      </c>
    </row>
    <row r="9">
      <c r="A9" s="3" t="inlineStr">
        <is>
          <t>22-UNKNOWNS-ASSUMPTIONS-AND-OPEN-QUESTIONS.md</t>
        </is>
      </c>
      <c r="B9" s="3" t="inlineStr">
        <is>
          <t>U-08</t>
        </is>
      </c>
      <c r="C9" s="3" t="inlineStr">
        <is>
          <t>DOCX→PDF conversion engine (LibreOffice headless = MPL, heavy; OpenDoc engine; others)</t>
        </is>
      </c>
      <c r="D9" s="3" t="inlineStr">
        <is>
          <t>Previews, DOCX e-sign</t>
        </is>
      </c>
      <c r="E9" s="3" t="inlineStr">
        <is>
          <t>Spike in M4; sandbox mandatory</t>
        </is>
      </c>
      <c r="F9" s="3" t="inlineStr">
        <is>
          <t>M4</t>
        </is>
      </c>
    </row>
    <row r="10">
      <c r="A10" s="3" t="inlineStr">
        <is>
          <t>22-UNKNOWNS-ASSUMPTIONS-AND-OPEN-QUESTIONS.md</t>
        </is>
      </c>
      <c r="B10" s="3" t="inlineStr">
        <is>
          <t>U-09</t>
        </is>
      </c>
      <c r="C10" s="3" t="inlineStr">
        <is>
          <t>Object Lock support in SeaweedFS/RustFS</t>
        </is>
      </c>
      <c r="D10" s="3" t="inlineStr">
        <is>
          <t>WORM audit export (AUD-04)</t>
        </is>
      </c>
      <c r="E10" s="3" t="inlineStr">
        <is>
          <t>Test in M9; else document "use AWS/compatible store"</t>
        </is>
      </c>
      <c r="F10" s="3" t="inlineStr">
        <is>
          <t>M9</t>
        </is>
      </c>
    </row>
    <row r="11">
      <c r="A11" s="3" t="inlineStr">
        <is>
          <t>22-UNKNOWNS-ASSUMPTIONS-AND-OPEN-QUESTIONS.md</t>
        </is>
      </c>
      <c r="B11" s="3" t="inlineStr">
        <is>
          <t>U-10</t>
        </is>
      </c>
      <c r="C11" s="3" t="inlineStr">
        <is>
          <t>Block editor library for SOP/policy (licence, a11y, collaborative-ready)</t>
        </is>
      </c>
      <c r="D11" s="3" t="inlineStr">
        <is>
          <t>Core authoring UX</t>
        </is>
      </c>
      <c r="E11" s="3" t="inlineStr">
        <is>
          <t>Evaluate in M1 (TipTap core MIT / ProseMirror MIT / Lexical MIT)</t>
        </is>
      </c>
      <c r="F11" s="3" t="inlineStr">
        <is>
          <t>M1</t>
        </is>
      </c>
    </row>
    <row r="12">
      <c r="A12" s="3" t="inlineStr">
        <is>
          <t>22-UNKNOWNS-ASSUMPTIONS-AND-OPEN-QUESTIONS.md</t>
        </is>
      </c>
      <c r="B12" s="3" t="inlineStr">
        <is>
          <t>U-11</t>
        </is>
      </c>
      <c r="C12" s="3" t="inlineStr">
        <is>
          <t>PDF field-placement editor (render with pdf.js Apache-2.0 + own overlay)</t>
        </is>
      </c>
      <c r="D12" s="3" t="inlineStr">
        <is>
          <t>E-sign UX</t>
        </is>
      </c>
      <c r="E12" s="3" t="inlineStr">
        <is>
          <t>Prototype in M4</t>
        </is>
      </c>
      <c r="F12" s="3" t="inlineStr">
        <is>
          <t>M4</t>
        </is>
      </c>
    </row>
    <row r="13">
      <c r="A13" s="3" t="inlineStr">
        <is>
          <t>22-UNKNOWNS-ASSUMPTIONS-AND-OPEN-QUESTIONS.md</t>
        </is>
      </c>
      <c r="B13" s="3" t="inlineStr">
        <is>
          <t>U-12</t>
        </is>
      </c>
      <c r="C13" s="3" t="inlineStr">
        <is>
          <t>Real-time collaboration on drafts (co-editing) needed?</t>
        </is>
      </c>
      <c r="D13" s="3" t="inlineStr">
        <is>
          <t>Big architecture impact if yes</t>
        </is>
      </c>
      <c r="E13" s="3" t="inlineStr">
        <is>
          <t>Assume **no** for GA (locking + comments); revisit at M7</t>
        </is>
      </c>
      <c r="F13" s="3" t="inlineStr">
        <is>
          <t>M7</t>
        </is>
      </c>
    </row>
    <row r="14">
      <c r="A14" s="3" t="inlineStr">
        <is>
          <t>22-UNKNOWNS-ASSUMPTIONS-AND-OPEN-QUESTIONS.md</t>
        </is>
      </c>
      <c r="B14" s="3" t="inlineStr">
        <is>
          <t>U-13</t>
        </is>
      </c>
      <c r="C14" s="3" t="inlineStr">
        <is>
          <t>APQC PCF exact licence text</t>
        </is>
      </c>
      <c r="D14" s="3" t="inlineStr">
        <is>
          <t>Template taxonomy attribution</t>
        </is>
      </c>
      <c r="E14" s="3" t="inlineStr">
        <is>
          <t>Legal review</t>
        </is>
      </c>
      <c r="F14" s="3" t="inlineStr">
        <is>
          <t>M3</t>
        </is>
      </c>
    </row>
    <row r="15">
      <c r="A15" s="3" t="inlineStr">
        <is>
          <t>22-UNKNOWNS-ASSUMPTIONS-AND-OPEN-QUESTIONS.md</t>
        </is>
      </c>
      <c r="B15" s="3" t="inlineStr">
        <is>
          <t>U-14</t>
        </is>
      </c>
      <c r="C15" s="3" t="inlineStr">
        <is>
          <t>Email deliverability for self-hosters (SPF/DKIM/DMARC guidance, bounce handling)</t>
        </is>
      </c>
      <c r="D15" s="3" t="inlineStr">
        <is>
          <t>Notifications are core in standalone mode</t>
        </is>
      </c>
      <c r="E15" s="3" t="inlineStr">
        <is>
          <t>Admin guide + bounce webhook support for common relays</t>
        </is>
      </c>
      <c r="F15" s="3" t="inlineStr">
        <is>
          <t>M6</t>
        </is>
      </c>
    </row>
    <row r="16">
      <c r="A16" s="3" t="inlineStr">
        <is>
          <t>22-UNKNOWNS-ASSUMPTIONS-AND-OPEN-QUESTIONS.md</t>
        </is>
      </c>
      <c r="B16" s="3" t="inlineStr">
        <is>
          <t>U-16</t>
        </is>
      </c>
      <c r="C16" s="3" t="inlineStr">
        <is>
          <t>Brand assets are raster concept extractions; production vector masters and a small-size symbol are needed</t>
        </is>
      </c>
      <c r="D16" s="3" t="inlineStr">
        <is>
          <t>Logo/favicon quality, print, app icons</t>
        </is>
      </c>
      <c r="E16" s="3" t="inlineStr">
        <is>
          <t>Commission or produce SVG masters (BPMS-034); re-export icon and favicon sets</t>
        </is>
      </c>
      <c r="F16" s="3" t="inlineStr">
        <is>
          <t>R1</t>
        </is>
      </c>
    </row>
    <row r="17">
      <c r="A17" s="3" t="inlineStr">
        <is>
          <t>22-UNKNOWNS-ASSUMPTIONS-AND-OPEN-QUESTIONS.md</t>
        </is>
      </c>
      <c r="B17" s="3" t="inlineStr">
        <is>
          <t>U-15</t>
        </is>
      </c>
      <c r="C17" s="3" t="inlineStr">
        <is>
          <t>Browser support matrix</t>
        </is>
      </c>
      <c r="D17" s="3" t="inlineStr">
        <is>
          <t>QA cost</t>
        </is>
      </c>
      <c r="E17" s="3" t="inlineStr">
        <is>
          <t>Decide: last 2 versions of Chromium/Firefox/Safari; no IE/legacy Edge</t>
        </is>
      </c>
      <c r="F17" s="3" t="inlineStr">
        <is>
          <t>M1</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20" customWidth="1" min="1" max="1"/>
    <col width="6" customWidth="1" min="2" max="2"/>
    <col width="60" customWidth="1" min="3" max="3"/>
    <col width="40" customWidth="1" min="4" max="4"/>
    <col width="40" customWidth="1" min="5" max="5"/>
  </cols>
  <sheetData>
    <row r="1">
      <c r="A1" s="2" t="inlineStr">
        <is>
          <t>Source</t>
        </is>
      </c>
      <c r="B1" s="2" t="inlineStr">
        <is>
          <t>ID</t>
        </is>
      </c>
      <c r="C1" s="2" t="inlineStr">
        <is>
          <t>Assumption</t>
        </is>
      </c>
      <c r="D1" s="2" t="inlineStr">
        <is>
          <t>Check</t>
        </is>
      </c>
      <c r="E1" s="2" t="inlineStr">
        <is>
          <t>If false</t>
        </is>
      </c>
    </row>
    <row r="2">
      <c r="A2" s="3" t="inlineStr">
        <is>
          <t>22-UNKNOWNS-ASSUMPTIONS-AND-OPEN-QUESTIONS.md</t>
        </is>
      </c>
      <c r="B2" s="3" t="inlineStr">
        <is>
          <t>A-01</t>
        </is>
      </c>
      <c r="C2" s="3" t="inlineStr">
        <is>
          <t>Customers can provide PostgreSQL 16+, an S3-compatible store and SMTP</t>
        </is>
      </c>
      <c r="D2" s="3" t="inlineStr">
        <is>
          <t>Interviews (M0), install telemetry (opt-in)</t>
        </is>
      </c>
      <c r="E2" s="3" t="inlineStr">
        <is>
          <t>Ship bundled defaults in Compose (already planned)</t>
        </is>
      </c>
    </row>
    <row r="3">
      <c r="A3" s="3" t="inlineStr">
        <is>
          <t>22-UNKNOWNS-ASSUMPTIONS-AND-OPEN-QUESTIONS.md</t>
        </is>
      </c>
      <c r="B3" s="3" t="inlineStr">
        <is>
          <t>A-02</t>
        </is>
      </c>
      <c r="C3" s="3" t="inlineStr">
        <is>
          <t>A step builder covers ≥ 90 % of the processes buyers want to automate</t>
        </is>
      </c>
      <c r="D3" s="3" t="inlineStr">
        <is>
          <t>Model the 5 reference processes + 13 Wave-1 templates in IR</t>
        </is>
      </c>
      <c r="E3" s="3" t="inlineStr">
        <is>
          <t>Extend IR before M5</t>
        </is>
      </c>
    </row>
    <row r="4">
      <c r="A4" s="3" t="inlineStr">
        <is>
          <t>22-UNKNOWNS-ASSUMPTIONS-AND-OPEN-QUESTIONS.md</t>
        </is>
      </c>
      <c r="B4" s="3" t="inlineStr">
        <is>
          <t>A-03</t>
        </is>
      </c>
      <c r="C4" s="3" t="inlineStr">
        <is>
          <t>Pinning plus cancel-and-restart is acceptable in place of instance migration until P2</t>
        </is>
      </c>
      <c r="D4" s="3" t="inlineStr">
        <is>
          <t>Pilot feedback</t>
        </is>
      </c>
      <c r="E4" s="3" t="inlineStr">
        <is>
          <t>Pull the migration tool forward</t>
        </is>
      </c>
    </row>
    <row r="5">
      <c r="A5" s="3" t="inlineStr">
        <is>
          <t>22-UNKNOWNS-ASSUMPTIONS-AND-OPEN-QUESTIONS.md</t>
        </is>
      </c>
      <c r="B5" s="3" t="inlineStr">
        <is>
          <t>A-04</t>
        </is>
      </c>
      <c r="C5" s="3" t="inlineStr">
        <is>
          <t>Locking plus comments are enough for co-authoring drafts (no real-time co-edit)</t>
        </is>
      </c>
      <c r="D5" s="3" t="inlineStr">
        <is>
          <t>Pilot feedback</t>
        </is>
      </c>
      <c r="E5" s="3" t="inlineStr">
        <is>
          <t>U-12</t>
        </is>
      </c>
    </row>
    <row r="6">
      <c r="A6" s="3" t="inlineStr">
        <is>
          <t>22-UNKNOWNS-ASSUMPTIONS-AND-OPEN-QUESTIONS.md</t>
        </is>
      </c>
      <c r="B6" s="3" t="inlineStr">
        <is>
          <t>A-05</t>
        </is>
      </c>
      <c r="C6" s="3" t="inlineStr">
        <is>
          <t>Workspace admins seeing all content is acceptable to most buyers (with Separation mode for the rest)</t>
        </is>
      </c>
      <c r="D6" s="3" t="inlineStr">
        <is>
          <t>Interviews with HR/compliance</t>
        </is>
      </c>
      <c r="E6" s="3" t="inlineStr">
        <is>
          <t>OQ-12</t>
        </is>
      </c>
    </row>
    <row r="7">
      <c r="A7" s="3" t="inlineStr">
        <is>
          <t>22-UNKNOWNS-ASSUMPTIONS-AND-OPEN-QUESTIONS.md</t>
        </is>
      </c>
      <c r="B7" s="3" t="inlineStr">
        <is>
          <t>A-06</t>
        </is>
      </c>
      <c r="C7" s="3" t="inlineStr">
        <is>
          <t>One campaign engine covers acks, quizzes, signatures and attestations</t>
        </is>
      </c>
      <c r="D7" s="3" t="inlineStr">
        <is>
          <t>Design review at M3</t>
        </is>
      </c>
      <c r="E7" s="3" t="inlineStr">
        <is>
          <t>Split envelope engine</t>
        </is>
      </c>
    </row>
    <row r="8">
      <c r="A8" s="3" t="inlineStr">
        <is>
          <t>22-UNKNOWNS-ASSUMPTIONS-AND-OPEN-QUESTIONS.md</t>
        </is>
      </c>
      <c r="B8" s="3" t="inlineStr">
        <is>
          <t>A-07</t>
        </is>
      </c>
      <c r="C8" s="3" t="inlineStr">
        <is>
          <t>SES/AES-style signatures with a certificate of completion meet most enterprise HR/policy needs</t>
        </is>
      </c>
      <c r="D8" s="3" t="inlineStr">
        <is>
          <t>Legal review per launch market</t>
        </is>
      </c>
      <c r="E8" s="3" t="inlineStr">
        <is>
          <t>QES/Aadhaar providers earlier</t>
        </is>
      </c>
    </row>
    <row r="9">
      <c r="A9" s="3" t="inlineStr">
        <is>
          <t>22-UNKNOWNS-ASSUMPTIONS-AND-OPEN-QUESTIONS.md</t>
        </is>
      </c>
      <c r="B9" s="3" t="inlineStr">
        <is>
          <t>A-08</t>
        </is>
      </c>
      <c r="C9" s="3" t="inlineStr">
        <is>
          <t>The AI-assisted team (~8–9 people + agents, 07 §5) is available</t>
        </is>
      </c>
      <c r="D9" s="3" t="inlineStr">
        <is>
          <t>Hiring plan at P0</t>
        </is>
      </c>
      <c r="E9" s="3" t="inlineStr">
        <is>
          <t>Keep release order; stretch each release to 11–12 weeks</t>
        </is>
      </c>
    </row>
    <row r="10">
      <c r="A10" s="3" t="inlineStr">
        <is>
          <t>22-UNKNOWNS-ASSUMPTIONS-AND-OPEN-QUESTIONS.md</t>
        </is>
      </c>
      <c r="B10" s="3" t="inlineStr">
        <is>
          <t>A-11</t>
        </is>
      </c>
      <c r="C10" s="3" t="inlineStr">
        <is>
          <t>AI coding agents roughly double implementation throughput without lowering quality</t>
        </is>
      </c>
      <c r="D10" s="3" t="inlineStr">
        <is>
          <t>Measure cycle time and escaped defects per release (R1 baseline)</t>
        </is>
      </c>
      <c r="E10" s="3" t="inlineStr">
        <is>
          <t>Re-plan R3+ durations at the G-R1 review</t>
        </is>
      </c>
    </row>
    <row r="11">
      <c r="A11" s="3" t="inlineStr">
        <is>
          <t>22-UNKNOWNS-ASSUMPTIONS-AND-OPEN-QUESTIONS.md</t>
        </is>
      </c>
      <c r="B11" s="3" t="inlineStr">
        <is>
          <t>A-12</t>
        </is>
      </c>
      <c r="C11" s="3" t="inlineStr">
        <is>
          <t>Customers accept PostgreSQL as a hard requirement (no MariaDB)</t>
        </is>
      </c>
      <c r="D11" s="3" t="inlineStr">
        <is>
          <t>Interviews; install guide</t>
        </is>
      </c>
      <c r="E11" s="3" t="inlineStr">
        <is>
          <t>Offer the managed-Postgres guide; not negotiable (ADR-0002)</t>
        </is>
      </c>
    </row>
    <row r="12">
      <c r="A12" s="3" t="inlineStr">
        <is>
          <t>22-UNKNOWNS-ASSUMPTIONS-AND-OPEN-QUESTIONS.md</t>
        </is>
      </c>
      <c r="B12" s="3" t="inlineStr">
        <is>
          <t>A-09</t>
        </is>
      </c>
      <c r="C12" s="3" t="inlineStr">
        <is>
          <t>AI is optional and off by default; the product is complete without it</t>
        </is>
      </c>
      <c r="D12" s="3" t="inlineStr">
        <is>
          <t>Pilot</t>
        </is>
      </c>
      <c r="E12" s="3" t="inlineStr">
        <is>
          <t>—</t>
        </is>
      </c>
    </row>
    <row r="13">
      <c r="A13" s="3" t="inlineStr">
        <is>
          <t>22-UNKNOWNS-ASSUMPTIONS-AND-OPEN-QUESTIONS.md</t>
        </is>
      </c>
      <c r="B13" s="3" t="inlineStr">
        <is>
          <t>A-10</t>
        </is>
      </c>
      <c r="C13" s="3" t="inlineStr">
        <is>
          <t>3 UI languages at GA are enough</t>
        </is>
      </c>
      <c r="D13" s="3" t="inlineStr">
        <is>
          <t>Pipeline</t>
        </is>
      </c>
      <c r="E13" s="3" t="inlineStr">
        <is>
          <t>More locales post-GA</t>
        </is>
      </c>
    </row>
    <row r="14">
      <c r="A14" s="3" t="inlineStr">
        <is>
          <t>22-UNKNOWNS-ASSUMPTIONS-AND-OPEN-QUESTIONS.md</t>
        </is>
      </c>
      <c r="B14" s="3" t="inlineStr">
        <is>
          <t>A-13</t>
        </is>
      </c>
      <c r="C14" s="3" t="inlineStr">
        <is>
          <t>Campaign timing (BPMS-046): reminder offsets and `campaign.escalation.to_manager_after` both count from each member's assignment; escalation happens once; settings are copied onto a campaign at creation; joiners keep the campaign's due window; policy acknowledgements need `policy:view` (no `policy:acknowledge` in the catalogue)</t>
        </is>
      </c>
      <c r="D14" s="3" t="inlineStr">
        <is>
          <t>Product-owner review of docs/04 §2.7 "As built"; pilot feedback</t>
        </is>
      </c>
      <c r="E14" s="3" t="inlineStr">
        <is>
          <t>Count escalation from the due date; add `policy:acknowledge` to docs/12 §5</t>
        </is>
      </c>
    </row>
    <row r="15">
      <c r="A15" s="3" t="inlineStr">
        <is>
          <t>22-UNKNOWNS-ASSUMPTIONS-AND-OPEN-QUESTIONS.md</t>
        </is>
      </c>
      <c r="B15" s="3" t="inlineStr">
        <is>
          <t>A-18 (BPMS-065)</t>
        </is>
      </c>
      <c r="C15" s="3" t="inlineStr">
        <is>
          <t>System console: (1) the member quota counts active members plus open invitations, checked when inviting (accepting a reserved seat is never refused; lowering a quota below current use blocks new invitations only); (2) quota defaults are per configuration profile and apply to new workspaces only; (3) the system plane's step-up window is the docs/12 §11 default of 5 minutes (it has no workspace settings) and covers suspend, reactivate, schedule deletion, workspace quotas and quota defaults; (4) scheduling deletion requires a reason, stored as the workspace's state reason; (5) health is "degraded" when the oldest pending event or queued email is older than 5 minutes, any email has failed, the cache is degraded, no dispatcher runs, or migrations are missing; (6) "last activity" is the newest event on the workspace's own audit chain; (7) the system audit names system administrators only, other actors stay pseudonymous</t>
        </is>
      </c>
      <c r="D15" s="3" t="inlineStr">
        <is>
          <t>Product-owner review of docs/05 §3.20 and docs/20 §3 "As built"; operator feedback</t>
        </is>
      </c>
      <c r="E15" s="3" t="inlineStr">
        <is>
          <t>Count invitations separately; per-plan defaults; a platform setting for the system step-up window</t>
        </is>
      </c>
    </row>
    <row r="16">
      <c r="A16" s="3" t="inlineStr">
        <is>
          <t>22-UNKNOWNS-ASSUMPTIONS-AND-OPEN-QUESTIONS.md</t>
        </is>
      </c>
      <c r="B16" s="3" t="inlineStr">
        <is>
          <t>A-14</t>
        </is>
      </c>
      <c r="C16" s="3" t="inlineStr">
        <is>
          <t>Library visibility (BPMS-045): members who can only `view` a kind (no `create`/`edit_draft`/`review`/`approve`/`publish`) see an artifact only once it has a published version, and only its published history (published, deprecated, retired), never drafts, reviews or scheduled versions. This matches the UI promise "Nobody else sees it until it's published". A `restricted` policy is additionally hidden (404, also in search) from readers outside its applicability. Authors and admins see everything</t>
        </is>
      </c>
      <c r="D16" s="3" t="inlineStr">
        <is>
          <t>Product-owner review; pilot feedback</t>
        </is>
      </c>
      <c r="E16" s="3" t="inlineStr">
        <is>
          <t>Show drafts to readers through explicit visibility settings (docs/12 §8)</t>
        </is>
      </c>
    </row>
    <row r="17">
      <c r="A17" s="3" t="inlineStr">
        <is>
          <t>22-UNKNOWNS-ASSUMPTIONS-AND-OPEN-QUESTIONS.md</t>
        </is>
      </c>
      <c r="B17" s="3" t="inlineStr">
        <is>
          <t>A-15 (BPMS-048)</t>
        </is>
      </c>
      <c r="C17" s="3" t="inlineStr">
        <is>
          <t>Quiet hours apply every day (no per-day selection yet); digest and quiet-hour times use whole hours in the member's time zone; which emails are "urgent" is fixed per kind (campaign actions and acknowledgement requests urgent, plain announcements normal, critical announcements critical)</t>
        </is>
      </c>
      <c r="D17" s="3" t="inlineStr">
        <is>
          <t>Pilot feedback</t>
        </is>
      </c>
      <c r="E17" s="3" t="inlineStr">
        <is>
          <t>Per-day quiet hours; per-kind member choices (CFG)</t>
        </is>
      </c>
    </row>
    <row r="18">
      <c r="A18" s="3" t="inlineStr">
        <is>
          <t>22-UNKNOWNS-ASSUMPTIONS-AND-OPEN-QUESTIONS.md</t>
        </is>
      </c>
      <c r="B18" s="3" t="inlineStr">
        <is>
          <t>A-16 (BPMS-045)</t>
        </is>
      </c>
      <c r="C18" s="3" t="inlineStr">
        <is>
          <t>Re-acknowledgement on publish: the publisher picks major (default) or minor; v1 is `1.0` and never asks; the decision is fixed when the version is published or scheduled. One `governance.reack.policy` covers SOPs and policies (no separate `policies.reack.policy` key). The campaign goes to the artifact's applicability (everyone when unset), starts automatically with the workspace campaign defaults and `governance.reack.window`, and needs no `campaign:manage` from the publisher (the policy setting authorises it). Earlier campaigns on older versions keep running and are not closed. An audience with no active members starts no campaign</t>
        </is>
      </c>
      <c r="D18" s="3" t="inlineStr">
        <is>
          <t>Product-owner review of docs/04 §2.7 "As built (0019)"; pilot feedback</t>
        </is>
      </c>
      <c r="E18" s="3" t="inlineStr">
        <is>
          <t>Close superseded campaigns automatically; let the publisher edit the audience or due date before it launches; a per-artifact acknowledgement requirement (docs/05 §3.22 "none / on publish / on major / annual")</t>
        </is>
      </c>
    </row>
    <row r="19">
      <c r="A19" s="3" t="inlineStr">
        <is>
          <t>22-UNKNOWNS-ASSUMPTIONS-AND-OPEN-QUESTIONS.md</t>
        </is>
      </c>
      <c r="B19" s="3" t="inlineStr">
        <is>
          <t>A-17 (BPMS-027)</t>
        </is>
      </c>
      <c r="C19" s="3" t="inlineStr">
        <is>
          <t>Settings layers: (1) department overrides are inherited down the department tree and the nearest department wins; (2) department-scopable keys are the §2 Ovr ✓ / ✓ (dept) keys, never collection-only or ⚡ keys, and features keep reading workspace-level values until they carry a department context; (3) a profile switch resets every key any profile sets to the target profile's value (or the code default), replacing admin-set values (flagged in the plan), raising looser values to the floor, with a reason and step-up; (4) the effective-settings cache is used only with a shared Valkey cache, and only by the settings read API; (5) clearing a department override needs no reason</t>
        </is>
      </c>
      <c r="D19" s="3" t="inlineStr">
        <is>
          <t>Product-owner review of docs/20 §0-§1 "As built"; pilot feedback</t>
        </is>
      </c>
      <c r="E19" s="3" t="inlineStr">
        <is>
          <t>Keep admin-set values on a switch; let features resolve per department; cache with the in-process backend for single-node installs</t>
        </is>
      </c>
    </row>
    <row r="20">
      <c r="A20" s="3" t="inlineStr">
        <is>
          <t>22-UNKNOWNS-ASSUMPTIONS-AND-OPEN-QUESTIONS.md</t>
        </is>
      </c>
      <c r="B20" s="3" t="inlineStr">
        <is>
          <t>A-19 (BPMS-022)</t>
        </is>
      </c>
      <c r="C20" s="3" t="inlineStr">
        <is>
          <t>Passkeys at P0 (WebAuthn L3, docs/06 §3.6): (1) a passkey is a **second factor** after the password and a step-up method; passkey-only sign-in stays P1 (docs/12 §3). (2) Attestation is requested as `none` and not verified, so any authenticator is accepted (no AAGUID allow list). (3) User verification is `preferred`, not required; user presence is required. The UV flag is stored per passkey so "UV required for admins" can be enforced later. (4) Accepted algorithms: ES256, EdDSA, RS256 (≥ 2048 bits). (5) Verification uses `ring` + `ciborium` (Apache-2.0/ISC, Apache-2.0) because `webauthn-rs` is MPL-2.0, which is not on the ADR-0014 allow list. (6) The first second factor (passkey or TOTP) issues 10 recovery codes; removing the last one removes them. (7) Account-level step-up (removing a passkey) uses the platform default window of 5 minutes, since the account is not tied to one workspace. Adding a passkey needs only a valid session, like TOTP enrolment. (8) The RP ID is the public URL's host (override: `PROCERA_WEBAUTHN_RP_ID`); a loopback IP maps to `localhost`, because browsers reject IP addresses as RP IDs. (9) A signature counter that does not increase is rejected as a possible clone. (10) The access token's `amr` gets `hwk` for a passkey (RFC 8176)</t>
        </is>
      </c>
      <c r="D20" s="3" t="inlineStr">
        <is>
          <t>Security review of BPMS-022; pilot feedback from admins with hardware keys</t>
        </is>
      </c>
      <c r="E20" s="3" t="inlineStr">
        <is>
          <t>Add an attestation/AAGUID policy setting; require UV for admin roles; move passkey-only sign-in earlier</t>
        </is>
      </c>
    </row>
    <row r="21">
      <c r="A21" s="3" t="inlineStr">
        <is>
          <t>22-UNKNOWNS-ASSUMPTIONS-AND-OPEN-QUESTIONS.md</t>
        </is>
      </c>
      <c r="B21" s="3" t="inlineStr">
        <is>
          <t>A-20 (BPMS-041)</t>
        </is>
      </c>
      <c r="C21" s="3" t="inlineStr">
        <is>
          <t>Collection visibility applies to view-only readers like A-14: a document is hidden when any collection on its path restricts visibility to an audience the reader is outside of; authors (create/edit/review/approve/publish on the kind) and collection managers see everything. Collection-scoped role grants (docs/12 §5 scope `collection`) do not yet narrow document permissions; checks stay workspace-wide</t>
        </is>
      </c>
      <c r="D21" s="3" t="inlineStr">
        <is>
          <t>Product-owner review</t>
        </is>
      </c>
      <c r="E21" s="3" t="inlineStr">
        <is>
          <t>Honour collection-scoped grants in document permission checks (resource-scoped evaluation)</t>
        </is>
      </c>
    </row>
    <row r="22">
      <c r="A22" s="3" t="inlineStr">
        <is>
          <t>22-UNKNOWNS-ASSUMPTIONS-AND-OPEN-QUESTIONS.md</t>
        </is>
      </c>
      <c r="B22" s="3" t="inlineStr">
        <is>
          <t>A-21 (BPMS-080)</t>
        </is>
      </c>
      <c r="C22" s="3" t="inlineStr">
        <is>
          <t>IR compiler (docs/11 §14): (1) the input is an IR v1 document as authored, not yet normalised; each editor maps its canvas JSON to that shape. (2) The normal form fills `on: next`, sorts nodes and edges by id, variables by name and SLAs by id, and sets `meta.compilerVersion`, which is hashed with the rest. (3) An outcome handled by two edges is an error (IR-E017), because it would be an implicit fork. (4) For the `restricted` rule, the event-facing fields are every `notify` field, `correlation` and `idempotencyKey`. (5) In a `controlled` process every `outcome` escalation is rejected, not only auto-approval. (6) Zero-length durations are rejected. (7) `subject` names `policy`, `sop` or a `refs.documents` key; `document` names a `refs.documents` key or a `file` variable; `quiz` names a `refs.forms` key. (8) SLA `pauseWhile` entries are node ids, optionally prefixed with the node kind (`wait.signal:vendor-quote`). (9) A variable with no classification counts as not restricted, and the compiler adds no default. (10) With no workspace environment, checks 8–10 are skipped and IR-I001 is reported</t>
        </is>
      </c>
      <c r="D22" s="3" t="inlineStr">
        <is>
          <t>Runtime-lead review of docs/11 §14; feedback from the designer (BPMS-05x) and publish integration (BPMS-084)</t>
        </is>
      </c>
      <c r="E22" s="3" t="inlineStr">
        <is>
          <t>Change the normal form (and bump `COMPILER_VERSION`); allow selected auto-outcomes in controlled processes; widen or narrow the event-facing field list</t>
        </is>
      </c>
    </row>
    <row r="23">
      <c r="A23" s="3" t="inlineStr">
        <is>
          <t>22-UNKNOWNS-ASSUMPTIONS-AND-OPEN-QUESTIONS.md</t>
        </is>
      </c>
      <c r="B23" s="3" t="inlineStr">
        <is>
          <t>A-22 (BPMS-081)</t>
        </is>
      </c>
      <c r="C23" s="3" t="inlineStr">
        <is>
          <t>Expression engine, as built (docs/11 §6.1). (1) **Our own CEL-subset implementation** (parser, type checker, evaluator) instead of `cel-rust`. `cel-rust` has no step budget (only the non-deterministic wall-clock guard SP-08 suggested, and `wasm32` has no clock), uses IEEE doubles, and has no static checker. Our implementation follows CEL syntax and precedence, so it is a CEL subset, not the custom DSL ADR-0010 rejects. (2) There is no floating point: `1.5` is an exact decimal, and an integer is accepted wherever a decimal is. (3) `&amp;&amp;`/`</t>
        </is>
      </c>
      <c r="D23" s="3" t="inlineStr"/>
      <c r="E23" s="3" t="inlineStr">
        <is>
          <t>` short-circuit left to right; CEL's commutative error absorption is not implemented. (4) Fields of inline `record` types are required. The built-in shapes are principal (`id`, `manager?`, `department?`, `email?`), group (`id`, `name?`), file (`name`, `hash`, `size`, `content_type?`) and instance (`id`, `display_id`, `started_at`). (5) `today()` and date parts use a fixed UTC offset that the caller injects, resolved from the process calendar at `now`; there is no IANA zone database in the engine. (6) Rounding is half away from zero. (7) Event-facing contexts (notify templates, values copied into events, idempotency keys) reject `restricted` reads; confidential reads are allowed and the result carries the classification. (8) Budget defaults: 10 000 steps, 1 MiB allocation, 64 KiB strings, 10 000-element lists, evaluator depth 64. The step budget replaces SP-08's 10 ms wall-clock guard</t>
        </is>
      </c>
    </row>
    <row r="24">
      <c r="A24" s="3" t="inlineStr">
        <is>
          <t>22-UNKNOWNS-ASSUMPTIONS-AND-OPEN-QUESTIONS.md</t>
        </is>
      </c>
      <c r="B24" s="3" t="inlineStr">
        <is>
          <t>A-23 (BPMS-082)</t>
        </is>
      </c>
      <c r="C24" s="3" t="inlineStr">
        <is>
          <t>Native interpreter (docs/11 §15): (1) `set` evaluates every expression against the variables as they were before the node (parallel assignment). (2) A rule-table decision whose output is null or names no branch takes `default`; an expression branch whose condition is not a boolean raises incident IR-R002 (docs/11 §6). (3) Runtime incident codes besides IR-R010: IR-R001 expression failed, IR-R002 non-boolean condition, IR-R003 no edge for an outcome without `unhandled: fail`, IR-R004 loop guard, IR-R005 join outside its split, IR-R006 bad value (timer instant, idempotency key). An incident parks the token; the instance keeps running (docs/04 §4.1 default policy). (4) Loop guard: a node is entered at most `maxIterations` times when it declares one, else 1,000 times per instance; the next entry raises IR-R004. (5) A boundary without `interrupting` interrupts (BPMN default). A non-interrupting boundary token keeps its parent's branch frames; a join counts each branch once. (6) A typed connector error `error:&lt;CODE&gt;` goes to the matching `error:&lt;CODE&gt;` boundary, else to the `error` outcome. (7) Cancelling or terminating withdraws work items, timers, subscriptions and child instances; in-flight connector calls and opened cases are not cancelled, and a late connector result is refused as an unknown key. (8) An outcome produced with no edge and `unhandled: fail` fails the instance. (9) Instance status `terminated` covers both `end{result: terminated}` and an instance cancel (docs/04 stores `cancelled`). (10) Activation and command keys are `&lt;instance&gt;/&lt;node&gt;/&lt;n&gt;` with `n` from the instance's own counter; the connector receives the evaluated `idempotencyKey` separately. (11) Runtime conformance fixtures live in `conformance/runtime/&lt;group&gt;/&lt;case&gt;/` (the repository's conformance crate, docs/04 §1) rather than `crates/runtime/conformance/fixtures/` (docs/15 §4), and the script is `script.json`, not `script.yaml`, to avoid a YAML dependency. Traces are compared in total order, since the native interpreter is deterministic</t>
        </is>
      </c>
      <c r="D24" s="3" t="inlineStr">
        <is>
          <t>Runtime-lead review of docs/11 §15; BPMS-083/085/088 integration</t>
        </is>
      </c>
      <c r="E24" s="3" t="inlineStr">
        <is>
          <t>Change the parallel-assignment rule; make the loop default 50 (docs/11 §4) for every node; cancel in-flight connector calls; move the fixtures and adopt YAML</t>
        </is>
      </c>
    </row>
    <row r="25">
      <c r="A25" s="3" t="inlineStr">
        <is>
          <t>22-UNKNOWNS-ASSUMPTIONS-AND-OPEN-QUESTIONS.md</t>
        </is>
      </c>
      <c r="B25" s="3" t="inlineStr">
        <is>
          <t>A-24 (BPMS-023)</t>
        </is>
      </c>
      <c r="C25" s="3" t="inlineStr">
        <is>
          <t>Invitation page: whoever holds the link (the token is the credential, 7-day single use) may see the invited email, the workspace name, the inviter's name, the expiry and whether that email already has an account, so the page can offer "create account" or "sign in to accept" (`GET /invitations/preview`, public, read-only, not audited). Signed in as a different email, the page says so and offers sign-out; it never accepts for another address. After sign-in, any same-origin `next` path is restored (deep links from emails survive sign-in); a deliberate sign-out drops it.</t>
        </is>
      </c>
      <c r="D25" s="3" t="inlineStr">
        <is>
          <t>Owner</t>
        </is>
      </c>
      <c r="E25" s="3" t="inlineStr"/>
    </row>
    <row r="26">
      <c r="A26" s="3" t="inlineStr">
        <is>
          <t>22-UNKNOWNS-ASSUMPTIONS-AND-OPEN-QUESTIONS.md</t>
        </is>
      </c>
      <c r="B26" s="3" t="inlineStr">
        <is>
          <t>A-25 (BPMS-040)</t>
        </is>
      </c>
      <c r="C26" s="3" t="inlineStr">
        <is>
          <t>Review notifications: on submit (when a review is required) every active member holding `{kind}:review` or `{kind}:approve` through a live grant at any scope, except the author, gets an in-app notice and an urgent email; scoped grants are not narrowed to the document's collection yet. The author gets the outcome (approved and ready to publish, changes requested or rejected, with the reviewer's comment) in-app and as a normal email (digest rules apply). A partial approval (more approvals still needed) notifies nobody. Announcements follow the same rule: on submit when approval applies, holders of `announcement:publish` or `announcement:manage` except the author are told (urgent); the author hears approved or sent back with the note.</t>
        </is>
      </c>
      <c r="D26" s="3" t="inlineStr">
        <is>
          <t>Owner</t>
        </is>
      </c>
      <c r="E26" s="3" t="inlineStr"/>
    </row>
    <row r="27">
      <c r="A27" s="3" t="inlineStr">
        <is>
          <t>22-UNKNOWNS-ASSUMPTIONS-AND-OPEN-QUESTIONS.md</t>
        </is>
      </c>
      <c r="B27" s="3" t="inlineStr">
        <is>
          <t>A-26 (BPMS-080/081/082)</t>
        </is>
      </c>
      <c r="C27" s="3" t="inlineStr">
        <is>
          <t>Expression wiring (docs/11 §14 *Expressions*, §15). (1) What each field must produce: a decision `when` is a non-null boolean; a `set` assignment has its variable's declared type; a timer `at` is a `datetime`; an `idempotencyKey` is a `string`; an assignee `ref` is a principal, a group or a string id (or a list of them, possibly null, when the fallback applies); `correlation` and connector `input` values may have any type. (2) Expression diagnostics map onto IR codes: syntax and limits to IR-E019, unknown variables to IR-E020, restricted reads in event-facing fields to IR-E021, null misuse to the new IR-E036, every other type error to the new IR-E035. A variable type with no expression type (`money` without a currency) is IR-E035 at the variable. (3) `expr:feel:` is rejected (IR-E019); the reference fixtures moved to CEL. (4) At run time a principal or group given as a bare string is read as `{ id }`; fields the built-in principal, group, file and instance shapes do not expose are dropped; `instance.display_id` is the instance id until display ids exist (BPMS-083). (5) A rule-table decision whose rule the evaluator cannot provide raises incident IR-R001 instead of taking `default`; until BPMS-087 a CEL stand-in per rule can be configured. (6) The time-zone offset for `today()` is injected into the evaluator, UTC by default, until calendars resolve it (BPMS-083)</t>
        </is>
      </c>
      <c r="D27" s="3" t="inlineStr">
        <is>
          <t>Runtime-lead review of docs/11 §14-§15; designer feedback (BPMS-100/101)</t>
        </is>
      </c>
      <c r="E27" s="3" t="inlineStr">
        <is>
          <t>Narrow or widen the per-field types (for example, allow string instants for `at`); split IR-E035 into finer codes; carry display ids on `start`</t>
        </is>
      </c>
    </row>
    <row r="28">
      <c r="A28" s="3" t="inlineStr">
        <is>
          <t>22-UNKNOWNS-ASSUMPTIONS-AND-OPEN-QUESTIONS.md</t>
        </is>
      </c>
      <c r="B28" s="3" t="inlineStr">
        <is>
          <t>A-27 (BPMS-083)</t>
        </is>
      </c>
      <c r="C28" s="3" t="inlineStr">
        <is>
          <t>Business calendars and durations (docs/04 §4.4 *As built*). (1) A calendar version's time zone is a fixed UTC offset (`+05:30`); IANA zone names are rejected until a zone database is added behind the calendar (A-22 (5)), so a DST region needs one version per offset period. (2) Working hours are `[start, end)` ranges per weekday in local time (`HH:MM`, up to `24:00`), ordered and non-overlapping; holidays are whole local dates; a calendar with no working time is invalid. (3) In a business duration the date part counts **working days**: `nD` lands at the same local time on the n-th next working day, after rolling a start outside working time forward to the next working instant, and a time the target day does not work is clamped into that day's hours; `nW` is n × the calendar's working weekdays (`P1W` = one working week). The time part (`H`, `M`, `S`) counts working time only. A zero duration is the identity. (4) A business timer or SLA whose calendar reference is not stored fails the advance (`calendar not found`); publish (BPMS-084) is expected to guarantee the reference. (5) A `calendar` on a node names a `refs.calendars` key; anything else is read as a calendar reference</t>
        </is>
      </c>
      <c r="D28" s="3" t="inlineStr">
        <is>
          <t>Runtime-lead and product-owner review; pilot calendars (E2E-R2-10, IN holidays)</t>
        </is>
      </c>
      <c r="E28" s="3" t="inlineStr">
        <is>
          <t>Count business days as fixed working-hour blocks (e.g. `P1D` = 8 working hours); add an IANA zone database; fall back to a 24×7 calendar instead of failing</t>
        </is>
      </c>
    </row>
    <row r="29">
      <c r="A29" s="3" t="inlineStr">
        <is>
          <t>22-UNKNOWNS-ASSUMPTIONS-AND-OPEN-QUESTIONS.md</t>
        </is>
      </c>
      <c r="B29" s="3" t="inlineStr">
        <is>
          <t>A-28 (BPMS-083)</t>
        </is>
      </c>
      <c r="C29" s="3" t="inlineStr">
        <is>
          <t>Runtime persistence (docs/04 §4.2 and §4.4 *As built*). (1) `instance_events` stores the **stimuli** (the replay log); the interpreter trace stays inside the stored state until analytics needs it as rows. The table is not partitioned yet (docs/04 §2.5 says monthly partitions); partitioning follows the SP-10 volume check. (2) Every command is recorded once in `instance_effects` by `(key, command)`; commands owned by later items (work items, connector calls, signals, subprocesses, cases, incidents, notifications, SLA breach actions) are left `pending` for those items to consume. (3) A program that declares a `restricted` variable cannot be started until instance data gets envelope encryption at rest (docs/11 §5); every other value is stored in the state JSONB. (4) One runtime audit record per accepted stimulus (`instance.started`, `instance.advanced`, `instance.completed`, `instance.cancelled`, `instance.failed`) with the system actor; user actors arrive with the stimuli that carry them (BPMS-085). (5) A stimulus the instance rejects (stale or duplicate) finishes its job as a no-op with the reason kept on the job. (6) A job whose last allowed attempt loses its lease is dead-lettered; jobs back off 2^n s up to 1 h, 10 attempts. (7) Timers fire when `due_at &lt;= now` (not `now + 1 s`) so `now` in the fired stimulus is never before the due time; a timer fires under a row lock in one transaction, so timers carry no lease or fence (the advance it enqueues is a leased job)</t>
        </is>
      </c>
      <c r="D29" s="3" t="inlineStr">
        <is>
          <t>Runtime-lead review of docs/04 §4 *As built*; SP-10</t>
        </is>
      </c>
      <c r="E29" s="3" t="inlineStr">
        <is>
          <t>Store trace rows; partition `instance_events`; encrypt restricted variables (lifts (3)); audit per command</t>
        </is>
      </c>
    </row>
    <row r="30">
      <c r="A30" s="3" t="inlineStr">
        <is>
          <t>22-UNKNOWNS-ASSUMPTIONS-AND-OPEN-QUESTIONS.md</t>
        </is>
      </c>
      <c r="B30" s="3" t="inlineStr">
        <is>
          <t>A-29 (BPMS-083)</t>
        </is>
      </c>
      <c r="C30" s="3" t="inlineStr">
        <is>
          <t>SLA clocks (docs/11 §9, FR-E12). (1) Clocks are level-triggered from the state after each stimulus: an `instance` SLA runs while the instance is not final; a node SLA runs while a live token (waiting or in incident) sits on its node; a running SLA is paused while a live token sits on a `pauseWhile` node. A node passed through within one advance takes no time and opens no clock; re-entering a node later opens a new clock. (2) Business SLAs use the process's default calendar. On resume, the due date moves by the paused working time (business) or the paused wall time (otherwise). (3) A breach fires once per clock, emits `sla.breached` and records the SLA's `breach` actions as a pending effect; delivering them (notify, escalate) waits for notification routing and assignment resolution (BPMS-085). The clock keeps running after a breach and `sla.stopped` reports `met: false`. (4) There is no `at-risk` state yet (E2E-R2-10 needs it; threshold unspecified)</t>
        </is>
      </c>
      <c r="D30" s="3" t="inlineStr">
        <is>
          <t>Product-owner review; E2E-R2-10</t>
        </is>
      </c>
      <c r="E30" s="3" t="inlineStr">
        <is>
          <t>Edge-triggered clocks from node entry/exit; an at-risk threshold setting; stop the clock at breach</t>
        </is>
      </c>
    </row>
    <row r="31">
      <c r="A31" s="3" t="inlineStr">
        <is>
          <t>22-UNKNOWNS-ASSUMPTIONS-AND-OPEN-QUESTIONS.md</t>
        </is>
      </c>
      <c r="B31" s="3" t="inlineStr">
        <is>
          <t>A-30 (BPMS-042)</t>
        </is>
      </c>
      <c r="C31" s="3" t="inlineStr">
        <is>
          <t>Image blocks: the alt text is required (no decorative images yet) and is the block's `text`, so diffs, search and re-ack hashes see it; a swapped picture with the same text still diffs (the file id is part of the compared text). Images can only use files already attached to the same version (attach, then insert); creating an artifact with images is refused. Starting a new version copies the previous version's attachment links so its images and files carry over. DOCX shows `[Image: alt] caption` until pictures are embedded.</t>
        </is>
      </c>
      <c r="D31" s="3" t="inlineStr">
        <is>
          <t>Owner</t>
        </is>
      </c>
      <c r="E31" s="3" t="inlineStr"/>
    </row>
    <row r="32">
      <c r="A32" s="3" t="inlineStr">
        <is>
          <t>22-UNKNOWNS-ASSUMPTIONS-AND-OPEN-QUESTIONS.md</t>
        </is>
      </c>
      <c r="B32" s="3" t="inlineStr">
        <is>
          <t>A-31 (SEC-01/02)</t>
        </is>
      </c>
      <c r="C32" s="3" t="inlineStr">
        <is>
          <t>Denied-access audit: any workspace-plane request from an authenticated member that names an object id in its path and answers 404 appends `access.denied` (category access, result denied, object = the first id in the path, reason = method and path) to the caller's own workspace chain. A probe of another workspace's id and a missing id look the same to the caller and are recorded the same way; the other workspace's chain is not written (it cannot be told without cross-tenant lookups). Not rate-limited or deduplicated yet.</t>
        </is>
      </c>
      <c r="D32" s="3" t="inlineStr">
        <is>
          <t>Owner</t>
        </is>
      </c>
      <c r="E32" s="3" t="inlineStr"/>
    </row>
    <row r="33">
      <c r="A33" s="3" t="inlineStr">
        <is>
          <t>22-UNKNOWNS-ASSUMPTIONS-AND-OPEN-QUESTIONS.md</t>
        </is>
      </c>
      <c r="B33" s="3" t="inlineStr">
        <is>
          <t>A-32 (BPMS-046/047)</t>
        </is>
      </c>
      <c r="C33" s="3" t="inlineStr">
        <is>
          <t>Announcement acknowledgements on the campaign engine (FR-AN04, FR-AK01; docs/04 §2.7 *As built (0033)*). (1) The deadline is the announcement's optional `ack_by` (require_ack only; after publication, no later than `expires_at`); without it the campaign uses going live + **`campaign.default_due`** (no new `announcements.ack.due` key), capped at `expires_at`. (2) Reminders use `campaign.reminders.cadence` and escalation `campaign.escalation.to_manager_after` (0 = off); the escalation offset is `max(that value, the ack window)` so it never fires before the deadline (FR-AN04 "after the deadline"). docs/20 §2.17 `announcements.escalate_unacked_to_manager` is not built; the campaign keys apply. (3) Recipients are the publication snapshot: no joiners, whatever `campaign.audience.snapshot` says. (4) The announcement delivery is the assignment notice (no separate `campaign_assigned`); reminders and escalations use `announcement_ack_*` templates; reminders open `/announcements/{id}`, escalations open the member page. (5) Acknowledging the announcement completes the assignment in the same transaction and appends one `announcement.acknowledged` audit record that cites the assignment; `/acknowledgements/{id}/complete` refuses announcement assignments (409). (6) Once the announcement expires it cannot be acknowledged: due reminder steps are used up silently, the escalation still fires; the campaign stays active until closed. (7) Archiving closes the campaign (reason "the announcement was archived") without `campaign:manage`; the announcement permission authorises it, as with re-ack (A-16). (8) Announcements published before 0033 get no campaign.</t>
        </is>
      </c>
      <c r="D33" s="3" t="inlineStr">
        <is>
          <t>Product-owner review of J14 and docs/04 §2.7</t>
        </is>
      </c>
      <c r="E33" s="3" t="inlineStr">
        <is>
          <t>An `announcements.ack.due` / `announcements.escalate_unacked_to_manager` key pair; close the campaign at expiry; a distinct assignment notice</t>
        </is>
      </c>
    </row>
    <row r="34">
      <c r="A34" s="3" t="inlineStr">
        <is>
          <t>22-UNKNOWNS-ASSUMPTIONS-AND-OPEN-QUESTIONS.md</t>
        </is>
      </c>
      <c r="B34" s="3" t="inlineStr">
        <is>
          <t>A-33 (FR-W04)</t>
        </is>
      </c>
      <c r="C34" s="3" t="inlineStr">
        <is>
          <t>Branding accent: docs/20 listed `#4F46E5` as the default while docs/05 §7 and the brand rules make Procera red the default; the default is now `#EE4136`. Any valid colour is accepted (never rejected); the server derives the shades the UI uses by moving it toward black (light theme) or white (dark theme) just enough to pass: links and filled-button labels 4.5:1 on every surface, focus ring 3:1. The Procera brand mark stays red; `GET /branding` is readable by every member. Logo (`branding.logo`): a clean PNG/JPEG/GIF/WebP up to 512 KB (SVG not accepted yet, since it needs sanitising), served to members by `GET /branding/logo` with metadata stripped; the file is kept out of the orphan purge while a branding setting points to it.</t>
        </is>
      </c>
      <c r="D34" s="3" t="inlineStr">
        <is>
          <t>Owner</t>
        </is>
      </c>
      <c r="E34" s="3" t="inlineStr"/>
    </row>
    <row r="35">
      <c r="A35" s="3" t="inlineStr">
        <is>
          <t>22-UNKNOWNS-ASSUMPTIONS-AND-OPEN-QUESTIONS.md</t>
        </is>
      </c>
      <c r="B35" s="3" t="inlineStr">
        <is>
          <t>A-34 (BPMS-024/041)</t>
        </is>
      </c>
      <c r="C35" s="3" t="inlineStr">
        <is>
          <t>Scoped grants on documents: a document filed in a collection is checked against that collection under its ancestors, so a role granted for a collection applies to the documents in it and its sub-collections; holding an authoring permission there also shows that collection's drafts. Unfiled documents use workspace grants only. `GET /artifacts/{id}` returns `my_actions`, the actions the caller may take on that document, and the page offers only those. Creating a document still needs the workspace-level create permission (a new document is not in a collection yet).</t>
        </is>
      </c>
      <c r="D35" s="3" t="inlineStr">
        <is>
          <t>Owner</t>
        </is>
      </c>
      <c r="E35" s="3" t="inlineStr"/>
    </row>
    <row r="36">
      <c r="A36" s="3" t="inlineStr">
        <is>
          <t>22-UNKNOWNS-ASSUMPTIONS-AND-OPEN-QUESTIONS.md</t>
        </is>
      </c>
      <c r="B36" s="3" t="inlineStr">
        <is>
          <t>A-35 (BPMS-028)</t>
        </is>
      </c>
      <c r="C36" s="3" t="inlineStr">
        <is>
          <t>DataGrid v2 (FR-V02, FR-V04, FR-V07; docs/05 §4 *As built*). (1) **Filter groups:** one level only (docs/05 allows depth ≤ 2): the top level ANDs its plain conditions and its groups; each group matches all (and) or any (or) of its conditions. The state keeps v1 `filters` and adds an optional `groups`, so v1 saved views and `?grid=` links load unchanged. (2) **Role sharing:** a view is personal, shared with everyone, or shared with one role (`shared_role`, a role key), never two of these; any member may share with any role of the workspace (they need not hold it), and `GET /views/roles` lists role keys and names to every member for that picker. Holding a role means an unexpired grant of it at **any scope**, directly or through a group; deleting the role makes its views personal. Only the owner changes or deletes a view, as in v1; workspace admins do not see others' personal views (they are preferences, not content). (3) **XLSX:** built by the server in `POST /exports` (`format: xlsx`) from the header and cells the browser sends, which are exactly the visible columns, rows, order and values the CSV gets, so redaction is the same as on screen; the server checks the shape (one value per column, `rows` = cell rows) but not the values, until the server-driven query model (docs/04 §5) lets it rebuild the rows itself. At most 10 000 rows and an 8 MB request per synchronous export; text cells are always strings, and formula-like text (`= + - @`, tab, CR) also gets Excel's quote prefix, the twin of the CSV apostrophe. Numbers and booleans keep their type; dates stay the text the grid shows.</t>
        </is>
      </c>
      <c r="D36" s="3" t="inlineStr">
        <is>
          <t>Owner review of E2E-R1-13</t>
        </is>
      </c>
      <c r="E36" s="3" t="inlineStr">
        <is>
          <t>Nested groups (depth 2); sharing only with roles the sharer holds; server-rebuilt XLSX rows; async exports</t>
        </is>
      </c>
    </row>
    <row r="37">
      <c r="A37" s="3" t="inlineStr">
        <is>
          <t>22-UNKNOWNS-ASSUMPTIONS-AND-OPEN-QUESTIONS.md</t>
        </is>
      </c>
      <c r="B37" s="3" t="inlineStr">
        <is>
          <t>A-36 (CFG-008, FR-W04)</t>
        </is>
      </c>
      <c r="C37" s="3" t="inlineStr">
        <is>
          <t>Terminology overrides are `en` only. docs/20 §2.2 says "per-locale label", but `en` is the only UI and email locale, so the value holds one `{singular, plural}` per term and no locale layer; a per-locale shape (`{en: {...}, de: {...}}`) can be added when a second locale ships. Labels are used as written in headings and tags. Mid-sentence, each word's first letter is lowered unless the word starts with two capitals ("SOP", "HR"), so "Work Instruction" reads "work instruction". Articles ("a"/"an") are avoided around a renamed term rather than guessed. Policies, announcements and campaigns are not renameable terms.</t>
        </is>
      </c>
      <c r="D37" s="3" t="inlineStr">
        <is>
          <t>Owner</t>
        </is>
      </c>
      <c r="E37" s="3" t="inlineStr">
        <is>
          <t>Per-locale labels and grammatical forms (articles, gender) with the i18n pipeline (UX-033)</t>
        </is>
      </c>
    </row>
    <row r="38">
      <c r="A38" s="3" t="inlineStr">
        <is>
          <t>22-UNKNOWNS-ASSUMPTIONS-AND-OPEN-QUESTIONS.md</t>
        </is>
      </c>
      <c r="B38" s="3" t="inlineStr">
        <is>
          <t>A-37 (FR-F06/F09)</t>
        </is>
      </c>
      <c r="C38" s="3" t="inlineStr">
        <is>
          <t>Per-file retention class: an admin (`file:delete`) may set or clear a file's class in bulk with a reason (`POST /files/retention`, one `file.retention_changed` audit record per file); a set class wins over the one derived from what holds the file, and the Files view says "(set by an admin)". Legal holds remain BPMS-164.</t>
        </is>
      </c>
      <c r="D38" s="3" t="inlineStr">
        <is>
          <t>Owner</t>
        </is>
      </c>
      <c r="E38" s="3" t="inlineStr"/>
    </row>
    <row r="39">
      <c r="A39" s="3" t="inlineStr">
        <is>
          <t>22-UNKNOWNS-ASSUMPTIONS-AND-OPEN-QUESTIONS.md</t>
        </is>
      </c>
      <c r="B39" s="3" t="inlineStr">
        <is>
          <t>A-38 (BPMS-106, FR-G08)</t>
        </is>
      </c>
      <c r="C39" s="3" t="inlineStr">
        <is>
          <t>Template packs, P0 subset (docs/21 §4 *As built*, docs/08 "Templates", docs/05 §3.7 *As built*). (1) **Provenance:** the packs ship in code (`crates/library/src/templates/`), versioned (`policy-ack` 1.0.0, `core-sops` 1.0.0) and changed only by a reviewed commit; the text is written for Procera from general practice, copies no standard or company document, opens with a "Template to adapt" notice, says it is not legal advice and makes no compliance claims. The gallery service, workspace-published templates, role mapping and upgrade diffs (FR-S06, FR-G08 in full) stay with BPMS-106. (2) **Keys on conflict:** a document whose key already exists (any state) is skipped and reported with the existing artifact; only an explicit `on_conflict: copy` creates a copy under the first free `key-N` (2-99) titled "Title (N)". Installing twice never duplicates silently, and every install appends one `template.installed` listing each outcome. (3) **Drafts:** documents install as `standard` criticality drafts owned by the installer, top level (no collection), through the normal create path (`artifact.created` each); review and publication follow the workspace review policy. (4) **Campaign defaults:** a campaign needs a published version (BPMS-046), so install does not create one; it returns a plan (everyone, due 14 days after launch, for the handbook) and the UI links to the new-campaign dialog with the document and date filled in. An automatic "ask on first publish" per document would need a stored acknowledgement requirement (docs/05 §3.21 *Authoring*) and is not built. (5) **Permissions:** browse = `template:browse` (Member has it); install = `template:install` plus `&lt;kind&gt;:create` for each kind created (Workspace Admin/Owner hold both; Process Owner holds `template:install` but not `policy:create`, so it can install `core-sops` only).</t>
        </is>
      </c>
      <c r="D39" s="3" t="inlineStr">
        <is>
          <t>Owner</t>
        </is>
      </c>
      <c r="E39" s="3" t="inlineStr"/>
    </row>
    <row r="40">
      <c r="A40" s="3" t="inlineStr">
        <is>
          <t>22-UNKNOWNS-ASSUMPTIONS-AND-OPEN-QUESTIONS.md</t>
        </is>
      </c>
      <c r="B40" s="3" t="inlineStr">
        <is>
          <t>A-39 (OQ-15)</t>
        </is>
      </c>
      <c r="C40" s="3" t="inlineStr">
        <is>
          <t>Account recovery: a password reset or change keeps two-step verification (only an admin's explicit reset removes it); reset links last 30 minutes, are single use and are stored hashed; a reset revokes every session, a signed-in change revokes the others; admin "require password change", "sign out everywhere" and "reset two-step verification" apply only when this is the member's only active workspace (accounts are global), else a system administrator does it; recovery emails are system emails (not in a workspace's mail queue).</t>
        </is>
      </c>
      <c r="D40" s="3" t="inlineStr">
        <is>
          <t>Owner</t>
        </is>
      </c>
      <c r="E40" s="3" t="inlineStr"/>
    </row>
    <row r="41">
      <c r="A41" s="3" t="inlineStr">
        <is>
          <t>22-UNKNOWNS-ASSUMPTIONS-AND-OPEN-QUESTIONS.md</t>
        </is>
      </c>
      <c r="B41" s="3" t="inlineStr">
        <is>
          <t>A-40 (OQ-15, as built)</t>
        </is>
      </c>
      <c r="C41" s="3" t="inlineStr">
        <is>
          <t>Account recovery details the decision left open (docs/06 §3.6.1 *As built*): (1) a **system role** counts as "outside this workspace", so a workspace admin cannot require a password change, sign out or reset two-step verification of a system account; (2) an admin's reset link is not counted against the 3-per-hour self-service budget; (3) "require a password change" does not end current sessions (the admin can also sign the member out everywhere); (4) the change token after `password_change_required` lasts 10 minutes; (5) recovery emails use the system workspace's queue (nil workspace id) rather than a separate table.</t>
        </is>
      </c>
      <c r="D41" s="3" t="inlineStr">
        <is>
          <t>Product-owner review of docs/06 §3.6.1 *As built</t>
        </is>
      </c>
      <c r="E41" s="3" t="inlineStr">
        <is>
          <t>Treat system accounts like any other; count admin links; revoke sessions on "require change"; a separate system mail table</t>
        </is>
      </c>
    </row>
    <row r="42">
      <c r="A42" s="3" t="inlineStr">
        <is>
          <t>22-UNKNOWNS-ASSUMPTIONS-AND-OPEN-QUESTIONS.md</t>
        </is>
      </c>
      <c r="B42" s="3" t="inlineStr">
        <is>
          <t>A-41 (BPMS-023)</t>
        </is>
      </c>
      <c r="C42" s="3" t="inlineStr">
        <is>
          <t>Reactivating a deactivated member (`POST /members/{id}/reactivate`): deactivation removes nothing, so reactivation restores the membership with the role grants (unexpired, at any scope, direct or through a group), group memberships and directory fields it had. Because that restores access, it is treated like granting it: `member:deactivate` on the member, a recent verification (step-up) and a reason (1–500 characters, recorded in `member.reactivated` with the restored role keys); the actor must hold every permission of those roles (the invitation rule, so an admin cannot bring back an owner); a disabled account is refused (a system administrator restores it first); the member takes a seat under the member quota. It emits `membership.reactivated.v1`, which nothing consumes yet: dynamic campaigns are not re-enrolled and nobody is notified. Inviting the person again still works and adds the invited roles to the old ones.</t>
        </is>
      </c>
      <c r="D42" s="3" t="inlineStr">
        <is>
          <t>Owner</t>
        </is>
      </c>
      <c r="E42" s="3" t="inlineStr">
        <is>
          <t>Reset roles on reactivation; re-enrol dynamic campaigns; tell the person</t>
        </is>
      </c>
    </row>
    <row r="43">
      <c r="A43" s="3" t="inlineStr">
        <is>
          <t>22-UNKNOWNS-ASSUMPTIONS-AND-OPEN-QUESTIONS.md</t>
        </is>
      </c>
      <c r="B43" s="3" t="inlineStr">
        <is>
          <t>A-43</t>
        </is>
      </c>
      <c r="C43" s="3" t="inlineStr">
        <is>
          <t>Role presets for jobs (HR lead, Finance lead, Engineering lead, Manager, Communications, Security &amp; IT) are custom roles created on first use, not built-in templates: built-in roles don't cover HR (announcements). Editable afterwards.</t>
        </is>
      </c>
      <c r="D43" s="3" t="inlineStr">
        <is>
          <t>Owner direction 2026-10-12</t>
        </is>
      </c>
      <c r="E43" s="3" t="inlineStr">
        <is>
          <t>Low</t>
        </is>
      </c>
    </row>
    <row r="44">
      <c r="A44" s="3" t="inlineStr">
        <is>
          <t>22-UNKNOWNS-ASSUMPTIONS-AND-OPEN-QUESTIONS.md</t>
        </is>
      </c>
      <c r="B44" s="3" t="inlineStr">
        <is>
          <t>A-45 (BPMS-083/085/103, 0.2)</t>
        </is>
      </c>
      <c r="C44" s="3" t="inlineStr">
        <is>
          <t>Requests and approvals before release bundles and workspace settings for them: (1) the four built-in request types are offered to every member with `request:start` (no per-type visibility yet); (2) currencies are fixed per type (expense claims EUR with a 500 threshold, purchase requisitions INR with 50,000 / 500,000) because there is no workspace currency setting; (3) each workspace gets the business calendar `calendar:default@1` (Monday to Friday, 09:00–17:00 UTC, no holidays) on first use; (4) a step nobody can take after SoD and the fallback (role `process.owner`) is created unassigned and listed for admins instead of raising an incident; (5) the requester hears about intermediate decisions and send-backs (`request_decided`) and the final outcome (`request_completed`), not about cancellations.</t>
        </is>
      </c>
      <c r="D44" s="3" t="inlineStr">
        <is>
          <t>Owner direction 2026-10-13 (0.2 scope)</t>
        </is>
      </c>
      <c r="E44" s="3" t="inlineStr">
        <is>
          <t>Medium</t>
        </is>
      </c>
    </row>
    <row r="45">
      <c r="A45" s="3" t="inlineStr">
        <is>
          <t>22-UNKNOWNS-ASSUMPTIONS-AND-OPEN-QUESTIONS.md</t>
        </is>
      </c>
      <c r="B45" s="3" t="inlineStr">
        <is>
          <t>A-46 (BPMS-085/088, 0.2)</t>
        </is>
      </c>
      <c r="C45" s="3" t="inlineStr">
        <is>
          <t>Work-item reminders and escalations: (1) an escalation's `at` counts from the step's activation, in business time when the step's `due` is (the IR has no per-escalation flag); (2) the built-ins remind one business day before due (only when due is two days or more) and at due, and one business day after due reassign manager approvals to the manager's manager or notify the requester's manager for other steps (docs/19 §5.6); (3) a `reassign` that resolves to nobody leaves the step where it is and says so on the timeline; (4) an admin may reassign any open step to one active member with a reason, without step-up, SoD re-run; (5) reminders and escalations are kept in the work item's `resolution.history`, not a new table; (6) changing the built-ins changes their checksums; the program source keeps every build it registers loadable by checksum, so a request started on an earlier build keeps advancing on it (E2E-R2-SYS-02), but a server restarted without the earlier build registered still cannot advance it until release bundles store builds (BPMS-084; pre-release data only).</t>
        </is>
      </c>
      <c r="D45" s="3" t="inlineStr">
        <is>
          <t>Owner direction 2026-10-13 (0.2 scope)</t>
        </is>
      </c>
      <c r="E45" s="3" t="inlineStr">
        <is>
          <t>Low</t>
        </is>
      </c>
    </row>
    <row r="46">
      <c r="A46" s="3" t="inlineStr">
        <is>
          <t>22-UNKNOWNS-ASSUMPTIONS-AND-OPEN-QUESTIONS.md</t>
        </is>
      </c>
      <c r="B46" s="3" t="inlineStr">
        <is>
          <t>A-44 (BPMS-023/046)</t>
        </is>
      </c>
      <c r="C46" s="3" t="inlineStr">
        <is>
          <t>Leaving the organisation (0.1). Deactivation is the leaving step; a 3-step dialog (Review, Hand over, Confirm) deactivates first, then hands documents to a new owner and direct reports to a new manager through the existing audited endpoints (`PUT /artifacts/{id}/owner`, `PATCH /members/{id}`). The hand-over default follows `directory.deactivation.reassign_strategy`: `manager` picks their manager when they have one; `fallback` and `process_owner` (no process owners yet) pick the admin doing it. Their open assignments in active campaigns close as `left` (migration 0038) by the `membership.deactivated.v1` consumer, audited `campaign.recipient_left` by the system, never as acknowledged; `left` assignments are frozen, leave the progress counts (`progress.left` reports them) and are not reopened on reactivation (A-41). Drafts, campaigns, groups and grants are listed for review but not moved: grants stay so reactivation can restore them.</t>
        </is>
      </c>
      <c r="D46" s="3" t="inlineStr">
        <is>
          <t>Owner direction 2026-10-13</t>
        </is>
      </c>
      <c r="E46" s="3" t="inlineStr">
        <is>
          <t>Low</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12" customWidth="1" min="3" max="3"/>
    <col width="18" customWidth="1" min="4" max="4"/>
    <col width="16" customWidth="1" min="5" max="5"/>
    <col width="16" customWidth="1" min="6" max="6"/>
  </cols>
  <sheetData>
    <row r="1">
      <c r="A1" s="2" t="inlineStr">
        <is>
          <t>Activity</t>
        </is>
      </c>
      <c r="B1" s="2" t="inlineStr">
        <is>
          <t>Process Owner</t>
        </is>
      </c>
      <c r="C1" s="2" t="inlineStr">
        <is>
          <t>Designer</t>
        </is>
      </c>
      <c r="D1" s="2" t="inlineStr">
        <is>
          <t>Reviewer/Compliance</t>
        </is>
      </c>
      <c r="E1" s="2" t="inlineStr">
        <is>
          <t>Workspace Admin</t>
        </is>
      </c>
      <c r="F1" s="2" t="inlineStr">
        <is>
          <t>System Admin</t>
        </is>
      </c>
    </row>
    <row r="2">
      <c r="A2" s="3" t="inlineStr">
        <is>
          <t>Draft process/SOP/policy</t>
        </is>
      </c>
      <c r="B2" s="3" t="inlineStr">
        <is>
          <t>A</t>
        </is>
      </c>
      <c r="C2" s="3" t="inlineStr">
        <is>
          <t>R</t>
        </is>
      </c>
      <c r="D2" s="3" t="inlineStr">
        <is>
          <t>C</t>
        </is>
      </c>
      <c r="E2" s="3" t="inlineStr">
        <is>
          <t>I</t>
        </is>
      </c>
      <c r="F2" s="3" t="inlineStr">
        <is>
          <t>—</t>
        </is>
      </c>
    </row>
    <row r="3">
      <c r="A3" s="3" t="inlineStr">
        <is>
          <t>Approve controlled change</t>
        </is>
      </c>
      <c r="B3" s="3" t="inlineStr">
        <is>
          <t>C</t>
        </is>
      </c>
      <c r="C3" s="3" t="inlineStr">
        <is>
          <t>I</t>
        </is>
      </c>
      <c r="D3" s="3" t="inlineStr">
        <is>
          <t>A/R</t>
        </is>
      </c>
      <c r="E3" s="3" t="inlineStr">
        <is>
          <t>I</t>
        </is>
      </c>
      <c r="F3" s="3" t="inlineStr">
        <is>
          <t>—</t>
        </is>
      </c>
    </row>
    <row r="4">
      <c r="A4" s="3" t="inlineStr">
        <is>
          <t>Publish standard process</t>
        </is>
      </c>
      <c r="B4" s="3" t="inlineStr">
        <is>
          <t>A/R</t>
        </is>
      </c>
      <c r="C4" s="3" t="inlineStr">
        <is>
          <t>C</t>
        </is>
      </c>
      <c r="D4" s="3" t="inlineStr">
        <is>
          <t>C</t>
        </is>
      </c>
      <c r="E4" s="3" t="inlineStr">
        <is>
          <t>I</t>
        </is>
      </c>
      <c r="F4" s="3" t="inlineStr">
        <is>
          <t>—</t>
        </is>
      </c>
    </row>
    <row r="5">
      <c r="A5" s="3" t="inlineStr">
        <is>
          <t>Configure roles &amp; settings</t>
        </is>
      </c>
      <c r="B5" s="3" t="inlineStr">
        <is>
          <t>I</t>
        </is>
      </c>
      <c r="C5" s="3" t="inlineStr">
        <is>
          <t>—</t>
        </is>
      </c>
      <c r="D5" s="3" t="inlineStr">
        <is>
          <t>C</t>
        </is>
      </c>
      <c r="E5" s="3" t="inlineStr">
        <is>
          <t>A/R</t>
        </is>
      </c>
      <c r="F5" s="3" t="inlineStr">
        <is>
          <t>—</t>
        </is>
      </c>
    </row>
    <row r="6">
      <c r="A6" s="3" t="inlineStr">
        <is>
          <t>Install template</t>
        </is>
      </c>
      <c r="B6" s="3" t="inlineStr">
        <is>
          <t>A</t>
        </is>
      </c>
      <c r="C6" s="3" t="inlineStr">
        <is>
          <t>R</t>
        </is>
      </c>
      <c r="D6" s="3" t="inlineStr">
        <is>
          <t>C</t>
        </is>
      </c>
      <c r="E6" s="3" t="inlineStr">
        <is>
          <t>R</t>
        </is>
      </c>
      <c r="F6" s="3" t="inlineStr">
        <is>
          <t>—</t>
        </is>
      </c>
    </row>
    <row r="7">
      <c r="A7" s="3" t="inlineStr">
        <is>
          <t>Configure integration secret</t>
        </is>
      </c>
      <c r="B7" s="3" t="inlineStr">
        <is>
          <t>I</t>
        </is>
      </c>
      <c r="C7" s="3" t="inlineStr">
        <is>
          <t>C</t>
        </is>
      </c>
      <c r="D7" s="3" t="inlineStr">
        <is>
          <t>C</t>
        </is>
      </c>
      <c r="E7" s="3" t="inlineStr">
        <is>
          <t>A/R</t>
        </is>
      </c>
      <c r="F7" s="3" t="inlineStr">
        <is>
          <t>C (allowed list)</t>
        </is>
      </c>
    </row>
    <row r="8">
      <c r="A8" s="3" t="inlineStr">
        <is>
          <t>Run attestation campaign</t>
        </is>
      </c>
      <c r="B8" s="3" t="inlineStr">
        <is>
          <t>C</t>
        </is>
      </c>
      <c r="C8" s="3" t="inlineStr">
        <is>
          <t>—</t>
        </is>
      </c>
      <c r="D8" s="3" t="inlineStr">
        <is>
          <t>A/R</t>
        </is>
      </c>
      <c r="E8" s="3" t="inlineStr">
        <is>
          <t>R</t>
        </is>
      </c>
      <c r="F8" s="3" t="inlineStr">
        <is>
          <t>—</t>
        </is>
      </c>
    </row>
    <row r="9">
      <c r="A9" s="3" t="inlineStr">
        <is>
          <t>Investigate audit event</t>
        </is>
      </c>
      <c r="B9" s="3" t="inlineStr">
        <is>
          <t>I</t>
        </is>
      </c>
      <c r="C9" s="3" t="inlineStr">
        <is>
          <t>—</t>
        </is>
      </c>
      <c r="D9" s="3" t="inlineStr">
        <is>
          <t>A/R</t>
        </is>
      </c>
      <c r="E9" s="3" t="inlineStr">
        <is>
          <t>R</t>
        </is>
      </c>
      <c r="F9" s="3" t="inlineStr">
        <is>
          <t>—</t>
        </is>
      </c>
    </row>
    <row r="10">
      <c r="A10" s="3" t="inlineStr">
        <is>
          <t>Create/suspend workspace</t>
        </is>
      </c>
      <c r="B10" s="3" t="inlineStr">
        <is>
          <t>—</t>
        </is>
      </c>
      <c r="C10" s="3" t="inlineStr">
        <is>
          <t>—</t>
        </is>
      </c>
      <c r="D10" s="3" t="inlineStr">
        <is>
          <t>—</t>
        </is>
      </c>
      <c r="E10" s="3" t="inlineStr">
        <is>
          <t>I</t>
        </is>
      </c>
      <c r="F10" s="3" t="inlineStr">
        <is>
          <t>A/R</t>
        </is>
      </c>
    </row>
    <row r="11">
      <c r="A11" s="3" t="inlineStr">
        <is>
          <t>Approve break-glass</t>
        </is>
      </c>
      <c r="B11" s="3" t="inlineStr">
        <is>
          <t>—</t>
        </is>
      </c>
      <c r="C11" s="3" t="inlineStr">
        <is>
          <t>—</t>
        </is>
      </c>
      <c r="D11" s="3" t="inlineStr">
        <is>
          <t>C</t>
        </is>
      </c>
      <c r="E11" s="3" t="inlineStr">
        <is>
          <t>A</t>
        </is>
      </c>
      <c r="F11" s="3" t="inlineStr">
        <is>
          <t>R (requester)</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4" t="inlineStr">
        <is>
          <t>Release</t>
        </is>
      </c>
      <c r="B1" s="4" t="inlineStr">
        <is>
          <t>Not started</t>
        </is>
      </c>
      <c r="C1" s="4" t="inlineStr">
        <is>
          <t>In progress</t>
        </is>
      </c>
      <c r="D1" s="4" t="inlineStr">
        <is>
          <t>Blocked</t>
        </is>
      </c>
      <c r="E1" s="4" t="inlineStr">
        <is>
          <t>In review</t>
        </is>
      </c>
      <c r="F1" s="4" t="inlineStr">
        <is>
          <t>Done</t>
        </is>
      </c>
      <c r="G1" s="4" t="inlineStr">
        <is>
          <t>Deferred</t>
        </is>
      </c>
      <c r="H1" s="4" t="inlineStr">
        <is>
          <t>Total</t>
        </is>
      </c>
    </row>
    <row r="2">
      <c r="A2" t="inlineStr">
        <is>
          <t>P0</t>
        </is>
      </c>
      <c r="B2">
        <f>COUNTIFS(Backlog!$E:$E,$A2,Backlog!$K:$K,"Not started")</f>
        <v/>
      </c>
      <c r="C2">
        <f>COUNTIFS(Backlog!$E:$E,$A2,Backlog!$K:$K,"In progress")</f>
        <v/>
      </c>
      <c r="D2">
        <f>COUNTIFS(Backlog!$E:$E,$A2,Backlog!$K:$K,"Blocked")</f>
        <v/>
      </c>
      <c r="E2">
        <f>COUNTIFS(Backlog!$E:$E,$A2,Backlog!$K:$K,"In review")</f>
        <v/>
      </c>
      <c r="F2">
        <f>COUNTIFS(Backlog!$E:$E,$A2,Backlog!$K:$K,"Done")</f>
        <v/>
      </c>
      <c r="G2">
        <f>COUNTIFS(Backlog!$E:$E,$A2,Backlog!$K:$K,"Deferred")</f>
        <v/>
      </c>
      <c r="H2">
        <f>COUNTIF(Backlog!$E:$E,$A2)</f>
        <v/>
      </c>
    </row>
    <row r="3">
      <c r="A3" t="inlineStr">
        <is>
          <t>R1</t>
        </is>
      </c>
      <c r="B3">
        <f>COUNTIFS(Backlog!$E:$E,$A3,Backlog!$K:$K,"Not started")</f>
        <v/>
      </c>
      <c r="C3">
        <f>COUNTIFS(Backlog!$E:$E,$A3,Backlog!$K:$K,"In progress")</f>
        <v/>
      </c>
      <c r="D3">
        <f>COUNTIFS(Backlog!$E:$E,$A3,Backlog!$K:$K,"Blocked")</f>
        <v/>
      </c>
      <c r="E3">
        <f>COUNTIFS(Backlog!$E:$E,$A3,Backlog!$K:$K,"In review")</f>
        <v/>
      </c>
      <c r="F3">
        <f>COUNTIFS(Backlog!$E:$E,$A3,Backlog!$K:$K,"Done")</f>
        <v/>
      </c>
      <c r="G3">
        <f>COUNTIFS(Backlog!$E:$E,$A3,Backlog!$K:$K,"Deferred")</f>
        <v/>
      </c>
      <c r="H3">
        <f>COUNTIF(Backlog!$E:$E,$A3)</f>
        <v/>
      </c>
    </row>
    <row r="4">
      <c r="A4" t="inlineStr">
        <is>
          <t>R2</t>
        </is>
      </c>
      <c r="B4">
        <f>COUNTIFS(Backlog!$E:$E,$A4,Backlog!$K:$K,"Not started")</f>
        <v/>
      </c>
      <c r="C4">
        <f>COUNTIFS(Backlog!$E:$E,$A4,Backlog!$K:$K,"In progress")</f>
        <v/>
      </c>
      <c r="D4">
        <f>COUNTIFS(Backlog!$E:$E,$A4,Backlog!$K:$K,"Blocked")</f>
        <v/>
      </c>
      <c r="E4">
        <f>COUNTIFS(Backlog!$E:$E,$A4,Backlog!$K:$K,"In review")</f>
        <v/>
      </c>
      <c r="F4">
        <f>COUNTIFS(Backlog!$E:$E,$A4,Backlog!$K:$K,"Done")</f>
        <v/>
      </c>
      <c r="G4">
        <f>COUNTIFS(Backlog!$E:$E,$A4,Backlog!$K:$K,"Deferred")</f>
        <v/>
      </c>
      <c r="H4">
        <f>COUNTIF(Backlog!$E:$E,$A4)</f>
        <v/>
      </c>
    </row>
    <row r="5">
      <c r="A5" t="inlineStr">
        <is>
          <t>R3</t>
        </is>
      </c>
      <c r="B5">
        <f>COUNTIFS(Backlog!$E:$E,$A5,Backlog!$K:$K,"Not started")</f>
        <v/>
      </c>
      <c r="C5">
        <f>COUNTIFS(Backlog!$E:$E,$A5,Backlog!$K:$K,"In progress")</f>
        <v/>
      </c>
      <c r="D5">
        <f>COUNTIFS(Backlog!$E:$E,$A5,Backlog!$K:$K,"Blocked")</f>
        <v/>
      </c>
      <c r="E5">
        <f>COUNTIFS(Backlog!$E:$E,$A5,Backlog!$K:$K,"In review")</f>
        <v/>
      </c>
      <c r="F5">
        <f>COUNTIFS(Backlog!$E:$E,$A5,Backlog!$K:$K,"Done")</f>
        <v/>
      </c>
      <c r="G5">
        <f>COUNTIFS(Backlog!$E:$E,$A5,Backlog!$K:$K,"Deferred")</f>
        <v/>
      </c>
      <c r="H5">
        <f>COUNTIF(Backlog!$E:$E,$A5)</f>
        <v/>
      </c>
    </row>
    <row r="6">
      <c r="A6" t="inlineStr">
        <is>
          <t>R4</t>
        </is>
      </c>
      <c r="B6">
        <f>COUNTIFS(Backlog!$E:$E,$A6,Backlog!$K:$K,"Not started")</f>
        <v/>
      </c>
      <c r="C6">
        <f>COUNTIFS(Backlog!$E:$E,$A6,Backlog!$K:$K,"In progress")</f>
        <v/>
      </c>
      <c r="D6">
        <f>COUNTIFS(Backlog!$E:$E,$A6,Backlog!$K:$K,"Blocked")</f>
        <v/>
      </c>
      <c r="E6">
        <f>COUNTIFS(Backlog!$E:$E,$A6,Backlog!$K:$K,"In review")</f>
        <v/>
      </c>
      <c r="F6">
        <f>COUNTIFS(Backlog!$E:$E,$A6,Backlog!$K:$K,"Done")</f>
        <v/>
      </c>
      <c r="G6">
        <f>COUNTIFS(Backlog!$E:$E,$A6,Backlog!$K:$K,"Deferred")</f>
        <v/>
      </c>
      <c r="H6">
        <f>COUNTIF(Backlog!$E:$E,$A6)</f>
        <v/>
      </c>
    </row>
    <row r="7">
      <c r="A7" t="inlineStr">
        <is>
          <t>R5</t>
        </is>
      </c>
      <c r="B7">
        <f>COUNTIFS(Backlog!$E:$E,$A7,Backlog!$K:$K,"Not started")</f>
        <v/>
      </c>
      <c r="C7">
        <f>COUNTIFS(Backlog!$E:$E,$A7,Backlog!$K:$K,"In progress")</f>
        <v/>
      </c>
      <c r="D7">
        <f>COUNTIFS(Backlog!$E:$E,$A7,Backlog!$K:$K,"Blocked")</f>
        <v/>
      </c>
      <c r="E7">
        <f>COUNTIFS(Backlog!$E:$E,$A7,Backlog!$K:$K,"In review")</f>
        <v/>
      </c>
      <c r="F7">
        <f>COUNTIFS(Backlog!$E:$E,$A7,Backlog!$K:$K,"Done")</f>
        <v/>
      </c>
      <c r="G7">
        <f>COUNTIFS(Backlog!$E:$E,$A7,Backlog!$K:$K,"Deferred")</f>
        <v/>
      </c>
      <c r="H7">
        <f>COUNTIF(Backlog!$E:$E,$A7)</f>
        <v/>
      </c>
    </row>
    <row r="8">
      <c r="A8" t="inlineStr">
        <is>
          <t>GA</t>
        </is>
      </c>
      <c r="B8">
        <f>COUNTIFS(Backlog!$E:$E,$A8,Backlog!$K:$K,"Not started")</f>
        <v/>
      </c>
      <c r="C8">
        <f>COUNTIFS(Backlog!$E:$E,$A8,Backlog!$K:$K,"In progress")</f>
        <v/>
      </c>
      <c r="D8">
        <f>COUNTIFS(Backlog!$E:$E,$A8,Backlog!$K:$K,"Blocked")</f>
        <v/>
      </c>
      <c r="E8">
        <f>COUNTIFS(Backlog!$E:$E,$A8,Backlog!$K:$K,"In review")</f>
        <v/>
      </c>
      <c r="F8">
        <f>COUNTIFS(Backlog!$E:$E,$A8,Backlog!$K:$K,"Done")</f>
        <v/>
      </c>
      <c r="G8">
        <f>COUNTIFS(Backlog!$E:$E,$A8,Backlog!$K:$K,"Deferred")</f>
        <v/>
      </c>
      <c r="H8">
        <f>COUNTIF(Backlog!$E:$E,$A8)</f>
        <v/>
      </c>
    </row>
    <row r="9">
      <c r="A9" t="inlineStr">
        <is>
          <t>POST</t>
        </is>
      </c>
      <c r="B9">
        <f>COUNTIFS(Backlog!$E:$E,$A9,Backlog!$K:$K,"Not started")</f>
        <v/>
      </c>
      <c r="C9">
        <f>COUNTIFS(Backlog!$E:$E,$A9,Backlog!$K:$K,"In progress")</f>
        <v/>
      </c>
      <c r="D9">
        <f>COUNTIFS(Backlog!$E:$E,$A9,Backlog!$K:$K,"Blocked")</f>
        <v/>
      </c>
      <c r="E9">
        <f>COUNTIFS(Backlog!$E:$E,$A9,Backlog!$K:$K,"In review")</f>
        <v/>
      </c>
      <c r="F9">
        <f>COUNTIFS(Backlog!$E:$E,$A9,Backlog!$K:$K,"Done")</f>
        <v/>
      </c>
      <c r="G9">
        <f>COUNTIFS(Backlog!$E:$E,$A9,Backlog!$K:$K,"Deferred")</f>
        <v/>
      </c>
      <c r="H9">
        <f>COUNTIF(Backlog!$E:$E,$A9)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2026-10-13T20:43:50Z</dcterms:created>
  <dcterms:modified xsi:type="dcterms:W3CDTF">2026-10-13T20:43:50Z</dcterms:modified>
</cp:coreProperties>
</file>